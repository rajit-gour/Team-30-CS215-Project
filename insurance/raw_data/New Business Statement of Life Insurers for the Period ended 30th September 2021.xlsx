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3.143\tv rao\D DRIVE\Life Department\Returns and Analysis\Life Statistics\Monthly NB Figures\NB DATA\Business Data 2021-22\September 2021\For Website\"/>
    </mc:Choice>
  </mc:AlternateContent>
  <bookViews>
    <workbookView xWindow="0" yWindow="0" windowWidth="20490" windowHeight="6495" tabRatio="695" firstSheet="2" activeTab="2"/>
  </bookViews>
  <sheets>
    <sheet name="FYP as at 31st March, 2018_TEMP" sheetId="40" state="hidden" r:id="rId1"/>
    <sheet name="Authority Vs Life Council" sheetId="30" state="hidden" r:id="rId2"/>
    <sheet name="FYP as at 30th September' 2021" sheetId="41" r:id="rId3"/>
  </sheets>
  <definedNames>
    <definedName name="_xlnm.Print_Area" localSheetId="0">'FYP as at 31st March, 2018_TEMP'!$A$1:$J$31</definedName>
    <definedName name="_xlnm.Print_Titles" localSheetId="2">'FYP as at 30th September'' 2021'!$A:$B,'FYP as at 30th September'' 2021'!$1:$3</definedName>
    <definedName name="_xlnm.Print_Titles" localSheetId="0">'FYP as at 31st March, 2018_TEMP'!$A:$B,'FYP as at 31st March, 2018_TEMP'!$1:$3</definedName>
  </definedNames>
  <calcPr calcId="162913"/>
  <fileRecoveryPr autoRecover="0"/>
</workbook>
</file>

<file path=xl/calcChain.xml><?xml version="1.0" encoding="utf-8"?>
<calcChain xmlns="http://schemas.openxmlformats.org/spreadsheetml/2006/main">
  <c r="AC177" i="41" l="1"/>
  <c r="Z177" i="41"/>
  <c r="V177" i="41"/>
  <c r="S177" i="41"/>
  <c r="O177" i="41"/>
  <c r="L177" i="41"/>
  <c r="H177" i="41"/>
  <c r="E177" i="41"/>
  <c r="AC176" i="41"/>
  <c r="Z176" i="41"/>
  <c r="V176" i="41"/>
  <c r="S176" i="41"/>
  <c r="O176" i="41"/>
  <c r="L176" i="41"/>
  <c r="H176" i="41"/>
  <c r="E176" i="41"/>
  <c r="AC175" i="41"/>
  <c r="Z175" i="41"/>
  <c r="V175" i="41"/>
  <c r="S175" i="41"/>
  <c r="O175" i="41"/>
  <c r="L175" i="41"/>
  <c r="H175" i="41"/>
  <c r="E175" i="41"/>
  <c r="AC174" i="41"/>
  <c r="Z174" i="41"/>
  <c r="O174" i="41"/>
  <c r="L174" i="41"/>
  <c r="H174" i="41"/>
  <c r="E174" i="41"/>
  <c r="AC173" i="41"/>
  <c r="Z173" i="41"/>
  <c r="O173" i="41"/>
  <c r="L173" i="41"/>
  <c r="H173" i="41"/>
  <c r="E173" i="41"/>
  <c r="AB172" i="41"/>
  <c r="AA172" i="41"/>
  <c r="Y172" i="41"/>
  <c r="X172" i="41"/>
  <c r="Z172" i="41" s="1"/>
  <c r="U172" i="41"/>
  <c r="T172" i="41"/>
  <c r="V172" i="41" s="1"/>
  <c r="S172" i="41"/>
  <c r="R172" i="41"/>
  <c r="Q172" i="41"/>
  <c r="O172" i="41"/>
  <c r="N172" i="41"/>
  <c r="M172" i="41"/>
  <c r="K172" i="41"/>
  <c r="L172" i="41" s="1"/>
  <c r="J172" i="41"/>
  <c r="G172" i="41"/>
  <c r="F172" i="41"/>
  <c r="D172" i="41"/>
  <c r="E172" i="41" s="1"/>
  <c r="C172" i="41"/>
  <c r="AC163" i="41"/>
  <c r="Z163" i="41"/>
  <c r="V163" i="41"/>
  <c r="S163" i="41"/>
  <c r="O163" i="41"/>
  <c r="L163" i="41"/>
  <c r="H163" i="41"/>
  <c r="E163" i="41"/>
  <c r="AC162" i="41"/>
  <c r="Z162" i="41"/>
  <c r="V162" i="41"/>
  <c r="S162" i="41"/>
  <c r="O162" i="41"/>
  <c r="L162" i="41"/>
  <c r="H162" i="41"/>
  <c r="E162" i="41"/>
  <c r="AC161" i="41"/>
  <c r="Z161" i="41"/>
  <c r="V161" i="41"/>
  <c r="S161" i="41"/>
  <c r="O161" i="41"/>
  <c r="H161" i="41"/>
  <c r="E161" i="41"/>
  <c r="AC160" i="41"/>
  <c r="Z160" i="41"/>
  <c r="O160" i="41"/>
  <c r="L160" i="41"/>
  <c r="H160" i="41"/>
  <c r="E160" i="41"/>
  <c r="AC159" i="41"/>
  <c r="Z159" i="41"/>
  <c r="O159" i="41"/>
  <c r="L159" i="41"/>
  <c r="H159" i="41"/>
  <c r="E159" i="41"/>
  <c r="AB158" i="41"/>
  <c r="AA158" i="41"/>
  <c r="Y158" i="41"/>
  <c r="X158" i="41"/>
  <c r="U158" i="41"/>
  <c r="V158" i="41" s="1"/>
  <c r="T158" i="41"/>
  <c r="S158" i="41"/>
  <c r="R158" i="41"/>
  <c r="Q158" i="41"/>
  <c r="O158" i="41"/>
  <c r="N158" i="41"/>
  <c r="M158" i="41"/>
  <c r="K158" i="41"/>
  <c r="L158" i="41" s="1"/>
  <c r="J158" i="41"/>
  <c r="H158" i="41"/>
  <c r="G158" i="41"/>
  <c r="F158" i="41"/>
  <c r="D158" i="41"/>
  <c r="C158" i="41"/>
  <c r="AC156" i="41"/>
  <c r="Z156" i="41"/>
  <c r="V156" i="41"/>
  <c r="S156" i="41"/>
  <c r="O156" i="41"/>
  <c r="L156" i="41"/>
  <c r="H156" i="41"/>
  <c r="E156" i="41"/>
  <c r="AC155" i="41"/>
  <c r="Z155" i="41"/>
  <c r="V155" i="41"/>
  <c r="S155" i="41"/>
  <c r="H155" i="41"/>
  <c r="E155" i="41"/>
  <c r="AC154" i="41"/>
  <c r="Z154" i="41"/>
  <c r="V154" i="41"/>
  <c r="S154" i="41"/>
  <c r="O154" i="41"/>
  <c r="L154" i="41"/>
  <c r="H154" i="41"/>
  <c r="E154" i="41"/>
  <c r="AC153" i="41"/>
  <c r="Z153" i="41"/>
  <c r="O153" i="41"/>
  <c r="L153" i="41"/>
  <c r="H153" i="41"/>
  <c r="E153" i="41"/>
  <c r="AC152" i="41"/>
  <c r="Z152" i="41"/>
  <c r="O152" i="41"/>
  <c r="L152" i="41"/>
  <c r="H152" i="41"/>
  <c r="E152" i="41"/>
  <c r="AB151" i="41"/>
  <c r="AA151" i="41"/>
  <c r="Y151" i="41"/>
  <c r="X151" i="41"/>
  <c r="U151" i="41"/>
  <c r="V151" i="41" s="1"/>
  <c r="T151" i="41"/>
  <c r="S151" i="41"/>
  <c r="R151" i="41"/>
  <c r="Q151" i="41"/>
  <c r="O151" i="41"/>
  <c r="N151" i="41"/>
  <c r="M151" i="41"/>
  <c r="K151" i="41"/>
  <c r="L151" i="41" s="1"/>
  <c r="J151" i="41"/>
  <c r="H151" i="41"/>
  <c r="G151" i="41"/>
  <c r="F151" i="41"/>
  <c r="D151" i="41"/>
  <c r="C151" i="41"/>
  <c r="AC149" i="41"/>
  <c r="Z149" i="41"/>
  <c r="V149" i="41"/>
  <c r="S149" i="41"/>
  <c r="O149" i="41"/>
  <c r="L149" i="41"/>
  <c r="H149" i="41"/>
  <c r="E149" i="41"/>
  <c r="AC147" i="41"/>
  <c r="Z147" i="41"/>
  <c r="V147" i="41"/>
  <c r="S147" i="41"/>
  <c r="O147" i="41"/>
  <c r="L147" i="41"/>
  <c r="H147" i="41"/>
  <c r="E147" i="41"/>
  <c r="AC146" i="41"/>
  <c r="Z146" i="41"/>
  <c r="O146" i="41"/>
  <c r="L146" i="41"/>
  <c r="H146" i="41"/>
  <c r="E146" i="41"/>
  <c r="AC145" i="41"/>
  <c r="Z145" i="41"/>
  <c r="O145" i="41"/>
  <c r="L145" i="41"/>
  <c r="H145" i="41"/>
  <c r="E145" i="41"/>
  <c r="AB144" i="41"/>
  <c r="AA144" i="41"/>
  <c r="Y144" i="41"/>
  <c r="X144" i="41"/>
  <c r="U144" i="41"/>
  <c r="V144" i="41" s="1"/>
  <c r="T144" i="41"/>
  <c r="S144" i="41"/>
  <c r="R144" i="41"/>
  <c r="Q144" i="41"/>
  <c r="O144" i="41"/>
  <c r="N144" i="41"/>
  <c r="M144" i="41"/>
  <c r="K144" i="41"/>
  <c r="L144" i="41" s="1"/>
  <c r="J144" i="41"/>
  <c r="H144" i="41"/>
  <c r="G144" i="41"/>
  <c r="F144" i="41"/>
  <c r="D144" i="41"/>
  <c r="C144" i="41"/>
  <c r="AC142" i="41"/>
  <c r="Z142" i="41"/>
  <c r="V142" i="41"/>
  <c r="S142" i="41"/>
  <c r="O142" i="41"/>
  <c r="L142" i="41"/>
  <c r="H142" i="41"/>
  <c r="E142" i="41"/>
  <c r="AC141" i="41"/>
  <c r="Z141" i="41"/>
  <c r="V141" i="41"/>
  <c r="S141" i="41"/>
  <c r="O141" i="41"/>
  <c r="L141" i="41"/>
  <c r="H141" i="41"/>
  <c r="E141" i="41"/>
  <c r="AC140" i="41"/>
  <c r="Z140" i="41"/>
  <c r="V140" i="41"/>
  <c r="S140" i="41"/>
  <c r="O140" i="41"/>
  <c r="L140" i="41"/>
  <c r="H140" i="41"/>
  <c r="E140" i="41"/>
  <c r="AC139" i="41"/>
  <c r="Z139" i="41"/>
  <c r="O139" i="41"/>
  <c r="L139" i="41"/>
  <c r="H139" i="41"/>
  <c r="E139" i="41"/>
  <c r="AC138" i="41"/>
  <c r="Z138" i="41"/>
  <c r="O138" i="41"/>
  <c r="L138" i="41"/>
  <c r="H138" i="41"/>
  <c r="E138" i="41"/>
  <c r="AB137" i="41"/>
  <c r="AA137" i="41"/>
  <c r="Y137" i="41"/>
  <c r="X137" i="41"/>
  <c r="U137" i="41"/>
  <c r="V137" i="41" s="1"/>
  <c r="T137" i="41"/>
  <c r="S137" i="41"/>
  <c r="R137" i="41"/>
  <c r="Q137" i="41"/>
  <c r="O137" i="41"/>
  <c r="N137" i="41"/>
  <c r="M137" i="41"/>
  <c r="K137" i="41"/>
  <c r="L137" i="41" s="1"/>
  <c r="J137" i="41"/>
  <c r="H137" i="41"/>
  <c r="G137" i="41"/>
  <c r="F137" i="41"/>
  <c r="D137" i="41"/>
  <c r="C137" i="41"/>
  <c r="AB130" i="41"/>
  <c r="AA130" i="41"/>
  <c r="Y130" i="41"/>
  <c r="X130" i="41"/>
  <c r="U130" i="41"/>
  <c r="T130" i="41"/>
  <c r="R130" i="41"/>
  <c r="Q130" i="41"/>
  <c r="N130" i="41"/>
  <c r="M130" i="41"/>
  <c r="K130" i="41"/>
  <c r="J130" i="41"/>
  <c r="G130" i="41"/>
  <c r="F130" i="41"/>
  <c r="D130" i="41"/>
  <c r="C130" i="41"/>
  <c r="AC128" i="41"/>
  <c r="Z128" i="41"/>
  <c r="V128" i="41"/>
  <c r="S128" i="41"/>
  <c r="O128" i="41"/>
  <c r="L128" i="41"/>
  <c r="H128" i="41"/>
  <c r="E128" i="41"/>
  <c r="AC127" i="41"/>
  <c r="Z127" i="41"/>
  <c r="V127" i="41"/>
  <c r="S127" i="41"/>
  <c r="O127" i="41"/>
  <c r="L127" i="41"/>
  <c r="H127" i="41"/>
  <c r="E127" i="41"/>
  <c r="AC126" i="41"/>
  <c r="Z126" i="41"/>
  <c r="V126" i="41"/>
  <c r="S126" i="41"/>
  <c r="AC125" i="41"/>
  <c r="Z125" i="41"/>
  <c r="O125" i="41"/>
  <c r="L125" i="41"/>
  <c r="H125" i="41"/>
  <c r="E125" i="41"/>
  <c r="AC124" i="41"/>
  <c r="Z124" i="41"/>
  <c r="O124" i="41"/>
  <c r="L124" i="41"/>
  <c r="H124" i="41"/>
  <c r="E124" i="41"/>
  <c r="AB123" i="41"/>
  <c r="AA123" i="41"/>
  <c r="Y123" i="41"/>
  <c r="X123" i="41"/>
  <c r="U123" i="41"/>
  <c r="T123" i="41"/>
  <c r="S123" i="41"/>
  <c r="R123" i="41"/>
  <c r="Q123" i="41"/>
  <c r="O123" i="41"/>
  <c r="N123" i="41"/>
  <c r="M123" i="41"/>
  <c r="K123" i="41"/>
  <c r="L123" i="41" s="1"/>
  <c r="J123" i="41"/>
  <c r="G123" i="41"/>
  <c r="F123" i="41"/>
  <c r="D123" i="41"/>
  <c r="E123" i="41" s="1"/>
  <c r="C123" i="41"/>
  <c r="AC121" i="41"/>
  <c r="Z121" i="41"/>
  <c r="V121" i="41"/>
  <c r="S121" i="41"/>
  <c r="O121" i="41"/>
  <c r="L121" i="41"/>
  <c r="H121" i="41"/>
  <c r="E121" i="41"/>
  <c r="AC119" i="41"/>
  <c r="Z119" i="41"/>
  <c r="V119" i="41"/>
  <c r="S119" i="41"/>
  <c r="O119" i="41"/>
  <c r="L119" i="41"/>
  <c r="H119" i="41"/>
  <c r="E119" i="41"/>
  <c r="AC118" i="41"/>
  <c r="Z118" i="41"/>
  <c r="O118" i="41"/>
  <c r="L118" i="41"/>
  <c r="H118" i="41"/>
  <c r="E118" i="41"/>
  <c r="AC117" i="41"/>
  <c r="Z117" i="41"/>
  <c r="O117" i="41"/>
  <c r="L117" i="41"/>
  <c r="H117" i="41"/>
  <c r="E117" i="41"/>
  <c r="AB116" i="41"/>
  <c r="AA116" i="41"/>
  <c r="Y116" i="41"/>
  <c r="X116" i="41"/>
  <c r="Z116" i="41" s="1"/>
  <c r="U116" i="41"/>
  <c r="T116" i="41"/>
  <c r="V116" i="41" s="1"/>
  <c r="S116" i="41"/>
  <c r="R116" i="41"/>
  <c r="Q116" i="41"/>
  <c r="O116" i="41"/>
  <c r="N116" i="41"/>
  <c r="M116" i="41"/>
  <c r="K116" i="41"/>
  <c r="L116" i="41" s="1"/>
  <c r="J116" i="41"/>
  <c r="G116" i="41"/>
  <c r="F116" i="41"/>
  <c r="D116" i="41"/>
  <c r="E116" i="41" s="1"/>
  <c r="C116" i="41"/>
  <c r="AC114" i="41"/>
  <c r="Z114" i="41"/>
  <c r="V114" i="41"/>
  <c r="S114" i="41"/>
  <c r="H114" i="41"/>
  <c r="E114" i="41"/>
  <c r="AC113" i="41"/>
  <c r="Z113" i="41"/>
  <c r="V113" i="41"/>
  <c r="S113" i="41"/>
  <c r="O113" i="41"/>
  <c r="L113" i="41"/>
  <c r="H113" i="41"/>
  <c r="E113" i="41"/>
  <c r="AC112" i="41"/>
  <c r="Z112" i="41"/>
  <c r="V112" i="41"/>
  <c r="S112" i="41"/>
  <c r="H112" i="41"/>
  <c r="E112" i="41"/>
  <c r="AC111" i="41"/>
  <c r="Z111" i="41"/>
  <c r="O111" i="41"/>
  <c r="L111" i="41"/>
  <c r="H111" i="41"/>
  <c r="E111" i="41"/>
  <c r="AC110" i="41"/>
  <c r="Z110" i="41"/>
  <c r="O110" i="41"/>
  <c r="L110" i="41"/>
  <c r="H110" i="41"/>
  <c r="E110" i="41"/>
  <c r="AB109" i="41"/>
  <c r="AA109" i="41"/>
  <c r="Y109" i="41"/>
  <c r="Z109" i="41" s="1"/>
  <c r="X109" i="41"/>
  <c r="U109" i="41"/>
  <c r="V109" i="41" s="1"/>
  <c r="T109" i="41"/>
  <c r="S109" i="41"/>
  <c r="R109" i="41"/>
  <c r="Q109" i="41"/>
  <c r="O109" i="41"/>
  <c r="N109" i="41"/>
  <c r="M109" i="41"/>
  <c r="K109" i="41"/>
  <c r="L109" i="41" s="1"/>
  <c r="J109" i="41"/>
  <c r="G109" i="41"/>
  <c r="F109" i="41"/>
  <c r="D109" i="41"/>
  <c r="C109" i="41"/>
  <c r="AC107" i="41"/>
  <c r="Z107" i="41"/>
  <c r="V107" i="41"/>
  <c r="S107" i="41"/>
  <c r="O107" i="41"/>
  <c r="L107" i="41"/>
  <c r="H107" i="41"/>
  <c r="E107" i="41"/>
  <c r="AC105" i="41"/>
  <c r="Z105" i="41"/>
  <c r="V105" i="41"/>
  <c r="S105" i="41"/>
  <c r="O105" i="41"/>
  <c r="L105" i="41"/>
  <c r="H105" i="41"/>
  <c r="E105" i="41"/>
  <c r="AC104" i="41"/>
  <c r="Z104" i="41"/>
  <c r="O104" i="41"/>
  <c r="L104" i="41"/>
  <c r="H104" i="41"/>
  <c r="E104" i="41"/>
  <c r="AC103" i="41"/>
  <c r="Z103" i="41"/>
  <c r="O103" i="41"/>
  <c r="L103" i="41"/>
  <c r="H103" i="41"/>
  <c r="E103" i="41"/>
  <c r="AB102" i="41"/>
  <c r="AA102" i="41"/>
  <c r="Y102" i="41"/>
  <c r="Z102" i="41" s="1"/>
  <c r="X102" i="41"/>
  <c r="U102" i="41"/>
  <c r="V102" i="41" s="1"/>
  <c r="T102" i="41"/>
  <c r="S102" i="41"/>
  <c r="R102" i="41"/>
  <c r="Q102" i="41"/>
  <c r="O102" i="41"/>
  <c r="N102" i="41"/>
  <c r="M102" i="41"/>
  <c r="K102" i="41"/>
  <c r="L102" i="41" s="1"/>
  <c r="J102" i="41"/>
  <c r="G102" i="41"/>
  <c r="F102" i="41"/>
  <c r="D102" i="41"/>
  <c r="C102" i="41"/>
  <c r="AC100" i="41"/>
  <c r="Z100" i="41"/>
  <c r="V100" i="41"/>
  <c r="S100" i="41"/>
  <c r="O100" i="41"/>
  <c r="L100" i="41"/>
  <c r="H100" i="41"/>
  <c r="E100" i="41"/>
  <c r="AC99" i="41"/>
  <c r="Z99" i="41"/>
  <c r="V99" i="41"/>
  <c r="S99" i="41"/>
  <c r="O99" i="41"/>
  <c r="L99" i="41"/>
  <c r="H99" i="41"/>
  <c r="E99" i="41"/>
  <c r="AC98" i="41"/>
  <c r="Z98" i="41"/>
  <c r="V98" i="41"/>
  <c r="S98" i="41"/>
  <c r="O98" i="41"/>
  <c r="L98" i="41"/>
  <c r="H98" i="41"/>
  <c r="E98" i="41"/>
  <c r="AC97" i="41"/>
  <c r="Z97" i="41"/>
  <c r="O97" i="41"/>
  <c r="L97" i="41"/>
  <c r="H97" i="41"/>
  <c r="E97" i="41"/>
  <c r="AC96" i="41"/>
  <c r="Z96" i="41"/>
  <c r="O96" i="41"/>
  <c r="L96" i="41"/>
  <c r="H96" i="41"/>
  <c r="E96" i="41"/>
  <c r="AB95" i="41"/>
  <c r="AA95" i="41"/>
  <c r="Y95" i="41"/>
  <c r="Z95" i="41" s="1"/>
  <c r="X95" i="41"/>
  <c r="U95" i="41"/>
  <c r="T95" i="41"/>
  <c r="S95" i="41"/>
  <c r="R95" i="41"/>
  <c r="Q95" i="41"/>
  <c r="O95" i="41"/>
  <c r="N95" i="41"/>
  <c r="M95" i="41"/>
  <c r="L95" i="41"/>
  <c r="K95" i="41"/>
  <c r="J95" i="41"/>
  <c r="G95" i="41"/>
  <c r="F95" i="41"/>
  <c r="D95" i="41"/>
  <c r="C95" i="41"/>
  <c r="AC92" i="41"/>
  <c r="Z92" i="41"/>
  <c r="V92" i="41"/>
  <c r="S92" i="41"/>
  <c r="O92" i="41"/>
  <c r="H92" i="41"/>
  <c r="E92" i="41"/>
  <c r="AC91" i="41"/>
  <c r="Z91" i="41"/>
  <c r="V91" i="41"/>
  <c r="S91" i="41"/>
  <c r="O91" i="41"/>
  <c r="L91" i="41"/>
  <c r="H91" i="41"/>
  <c r="E91" i="41"/>
  <c r="AC90" i="41"/>
  <c r="Z90" i="41"/>
  <c r="O90" i="41"/>
  <c r="L90" i="41"/>
  <c r="H90" i="41"/>
  <c r="E90" i="41"/>
  <c r="AC89" i="41"/>
  <c r="Z89" i="41"/>
  <c r="O89" i="41"/>
  <c r="L89" i="41"/>
  <c r="H89" i="41"/>
  <c r="E89" i="41"/>
  <c r="AB88" i="41"/>
  <c r="AA88" i="41"/>
  <c r="Y88" i="41"/>
  <c r="Z88" i="41" s="1"/>
  <c r="X88" i="41"/>
  <c r="U88" i="41"/>
  <c r="T88" i="41"/>
  <c r="S88" i="41"/>
  <c r="R88" i="41"/>
  <c r="Q88" i="41"/>
  <c r="O88" i="41"/>
  <c r="N88" i="41"/>
  <c r="M88" i="41"/>
  <c r="L88" i="41"/>
  <c r="K88" i="41"/>
  <c r="J88" i="41"/>
  <c r="G88" i="41"/>
  <c r="F88" i="41"/>
  <c r="D88" i="41"/>
  <c r="C88" i="41"/>
  <c r="AC22" i="41"/>
  <c r="V22" i="41"/>
  <c r="O22" i="41"/>
  <c r="H22" i="41"/>
  <c r="AC21" i="41"/>
  <c r="Z21" i="41"/>
  <c r="V21" i="41"/>
  <c r="S21" i="41"/>
  <c r="H21" i="41"/>
  <c r="E21" i="41"/>
  <c r="AC20" i="41"/>
  <c r="Z20" i="41"/>
  <c r="O20" i="41"/>
  <c r="L20" i="41"/>
  <c r="H20" i="41"/>
  <c r="E20" i="41"/>
  <c r="AC19" i="41"/>
  <c r="Z19" i="41"/>
  <c r="O19" i="41"/>
  <c r="L19" i="41"/>
  <c r="H19" i="41"/>
  <c r="E19" i="41"/>
  <c r="AB18" i="41"/>
  <c r="AA18" i="41"/>
  <c r="Y18" i="41"/>
  <c r="X18" i="41"/>
  <c r="Z18" i="41" s="1"/>
  <c r="U18" i="41"/>
  <c r="T18" i="41"/>
  <c r="V18" i="41" s="1"/>
  <c r="S18" i="41"/>
  <c r="R18" i="41"/>
  <c r="Q18" i="41"/>
  <c r="O18" i="41"/>
  <c r="N18" i="41"/>
  <c r="M18" i="41"/>
  <c r="K18" i="41"/>
  <c r="L18" i="41" s="1"/>
  <c r="J18" i="41"/>
  <c r="G18" i="41"/>
  <c r="F18" i="41"/>
  <c r="D18" i="41"/>
  <c r="E18" i="41" s="1"/>
  <c r="C18" i="41"/>
  <c r="AC86" i="41"/>
  <c r="Z86" i="41"/>
  <c r="V86" i="41"/>
  <c r="S86" i="41"/>
  <c r="O86" i="41"/>
  <c r="L86" i="41"/>
  <c r="H86" i="41"/>
  <c r="E86" i="41"/>
  <c r="AC84" i="41"/>
  <c r="Z84" i="41"/>
  <c r="V84" i="41"/>
  <c r="S84" i="41"/>
  <c r="O84" i="41"/>
  <c r="L84" i="41"/>
  <c r="H84" i="41"/>
  <c r="E84" i="41"/>
  <c r="AC83" i="41"/>
  <c r="Z83" i="41"/>
  <c r="O83" i="41"/>
  <c r="L83" i="41"/>
  <c r="H83" i="41"/>
  <c r="E83" i="41"/>
  <c r="AC82" i="41"/>
  <c r="Z82" i="41"/>
  <c r="O82" i="41"/>
  <c r="L82" i="41"/>
  <c r="H82" i="41"/>
  <c r="E82" i="41"/>
  <c r="AB81" i="41"/>
  <c r="AA81" i="41"/>
  <c r="Y81" i="41"/>
  <c r="X81" i="41"/>
  <c r="Z81" i="41" s="1"/>
  <c r="U81" i="41"/>
  <c r="T81" i="41"/>
  <c r="V81" i="41" s="1"/>
  <c r="S81" i="41"/>
  <c r="R81" i="41"/>
  <c r="Q81" i="41"/>
  <c r="O81" i="41"/>
  <c r="N81" i="41"/>
  <c r="M81" i="41"/>
  <c r="K81" i="41"/>
  <c r="L81" i="41" s="1"/>
  <c r="J81" i="41"/>
  <c r="G81" i="41"/>
  <c r="F81" i="41"/>
  <c r="D81" i="41"/>
  <c r="E81" i="41" s="1"/>
  <c r="C81" i="41"/>
  <c r="AC79" i="41"/>
  <c r="Z79" i="41"/>
  <c r="V79" i="41"/>
  <c r="S79" i="41"/>
  <c r="O79" i="41"/>
  <c r="L79" i="41"/>
  <c r="H79" i="41"/>
  <c r="E79" i="41"/>
  <c r="AC77" i="41"/>
  <c r="Z77" i="41"/>
  <c r="V77" i="41"/>
  <c r="S77" i="41"/>
  <c r="O77" i="41"/>
  <c r="L77" i="41"/>
  <c r="H77" i="41"/>
  <c r="E77" i="41"/>
  <c r="AC76" i="41"/>
  <c r="Z76" i="41"/>
  <c r="O76" i="41"/>
  <c r="L76" i="41"/>
  <c r="H76" i="41"/>
  <c r="E76" i="41"/>
  <c r="AC75" i="41"/>
  <c r="Z75" i="41"/>
  <c r="O75" i="41"/>
  <c r="L75" i="41"/>
  <c r="H75" i="41"/>
  <c r="E75" i="41"/>
  <c r="AB74" i="41"/>
  <c r="AA74" i="41"/>
  <c r="Y74" i="41"/>
  <c r="X74" i="41"/>
  <c r="Z74" i="41" s="1"/>
  <c r="U74" i="41"/>
  <c r="T74" i="41"/>
  <c r="V74" i="41" s="1"/>
  <c r="S74" i="41"/>
  <c r="R74" i="41"/>
  <c r="Q74" i="41"/>
  <c r="O74" i="41"/>
  <c r="N74" i="41"/>
  <c r="M74" i="41"/>
  <c r="K74" i="41"/>
  <c r="L74" i="41" s="1"/>
  <c r="J74" i="41"/>
  <c r="G74" i="41"/>
  <c r="F74" i="41"/>
  <c r="D74" i="41"/>
  <c r="E74" i="41" s="1"/>
  <c r="C74" i="41"/>
  <c r="AC72" i="41"/>
  <c r="Z72" i="41"/>
  <c r="V72" i="41"/>
  <c r="S72" i="41"/>
  <c r="O72" i="41"/>
  <c r="L72" i="41"/>
  <c r="H72" i="41"/>
  <c r="E72" i="41"/>
  <c r="AC70" i="41"/>
  <c r="Z70" i="41"/>
  <c r="V70" i="41"/>
  <c r="S70" i="41"/>
  <c r="O70" i="41"/>
  <c r="H70" i="41"/>
  <c r="E70" i="41"/>
  <c r="AC69" i="41"/>
  <c r="Z69" i="41"/>
  <c r="O69" i="41"/>
  <c r="L69" i="41"/>
  <c r="H69" i="41"/>
  <c r="E69" i="41"/>
  <c r="AC68" i="41"/>
  <c r="Z68" i="41"/>
  <c r="O68" i="41"/>
  <c r="L68" i="41"/>
  <c r="H68" i="41"/>
  <c r="E68" i="41"/>
  <c r="AB67" i="41"/>
  <c r="AA67" i="41"/>
  <c r="Y67" i="41"/>
  <c r="X67" i="41"/>
  <c r="Z67" i="41" s="1"/>
  <c r="U67" i="41"/>
  <c r="T67" i="41"/>
  <c r="V67" i="41" s="1"/>
  <c r="S67" i="41"/>
  <c r="R67" i="41"/>
  <c r="Q67" i="41"/>
  <c r="O67" i="41"/>
  <c r="N67" i="41"/>
  <c r="M67" i="41"/>
  <c r="K67" i="41"/>
  <c r="L67" i="41" s="1"/>
  <c r="J67" i="41"/>
  <c r="G67" i="41"/>
  <c r="F67" i="41"/>
  <c r="D67" i="41"/>
  <c r="E67" i="41" s="1"/>
  <c r="C67" i="41"/>
  <c r="AC65" i="41"/>
  <c r="Z65" i="41"/>
  <c r="V65" i="41"/>
  <c r="S65" i="41"/>
  <c r="H65" i="41"/>
  <c r="E65" i="41"/>
  <c r="AC64" i="41"/>
  <c r="Z64" i="41"/>
  <c r="V64" i="41"/>
  <c r="S64" i="41"/>
  <c r="O64" i="41"/>
  <c r="L64" i="41"/>
  <c r="H64" i="41"/>
  <c r="E64" i="41"/>
  <c r="AC63" i="41"/>
  <c r="Z63" i="41"/>
  <c r="V63" i="41"/>
  <c r="S63" i="41"/>
  <c r="H63" i="41"/>
  <c r="E63" i="41"/>
  <c r="AC62" i="41"/>
  <c r="Z62" i="41"/>
  <c r="O62" i="41"/>
  <c r="L62" i="41"/>
  <c r="H62" i="41"/>
  <c r="E62" i="41"/>
  <c r="AC61" i="41"/>
  <c r="Z61" i="41"/>
  <c r="O61" i="41"/>
  <c r="L61" i="41"/>
  <c r="H61" i="41"/>
  <c r="E61" i="41"/>
  <c r="AB60" i="41"/>
  <c r="AA60" i="41"/>
  <c r="Y60" i="41"/>
  <c r="X60" i="41"/>
  <c r="Z60" i="41" s="1"/>
  <c r="U60" i="41"/>
  <c r="T60" i="41"/>
  <c r="V60" i="41" s="1"/>
  <c r="S60" i="41"/>
  <c r="R60" i="41"/>
  <c r="Q60" i="41"/>
  <c r="O60" i="41"/>
  <c r="N60" i="41"/>
  <c r="M60" i="41"/>
  <c r="K60" i="41"/>
  <c r="L60" i="41" s="1"/>
  <c r="J60" i="41"/>
  <c r="G60" i="41"/>
  <c r="F60" i="41"/>
  <c r="D60" i="41"/>
  <c r="E60" i="41" s="1"/>
  <c r="C60" i="41"/>
  <c r="AC58" i="41"/>
  <c r="Z58" i="41"/>
  <c r="V58" i="41"/>
  <c r="S58" i="41"/>
  <c r="O58" i="41"/>
  <c r="L58" i="41"/>
  <c r="H58" i="41"/>
  <c r="E58" i="41"/>
  <c r="H57" i="41"/>
  <c r="AC56" i="41"/>
  <c r="Z56" i="41"/>
  <c r="V56" i="41"/>
  <c r="S56" i="41"/>
  <c r="H56" i="41"/>
  <c r="E56" i="41"/>
  <c r="AC55" i="41"/>
  <c r="Z55" i="41"/>
  <c r="O55" i="41"/>
  <c r="L55" i="41"/>
  <c r="H55" i="41"/>
  <c r="E55" i="41"/>
  <c r="AC54" i="41"/>
  <c r="Z54" i="41"/>
  <c r="O54" i="41"/>
  <c r="L54" i="41"/>
  <c r="H54" i="41"/>
  <c r="E54" i="41"/>
  <c r="AB53" i="41"/>
  <c r="AA53" i="41"/>
  <c r="Y53" i="41"/>
  <c r="X53" i="41"/>
  <c r="Z53" i="41" s="1"/>
  <c r="U53" i="41"/>
  <c r="T53" i="41"/>
  <c r="V53" i="41" s="1"/>
  <c r="S53" i="41"/>
  <c r="R53" i="41"/>
  <c r="Q53" i="41"/>
  <c r="O53" i="41"/>
  <c r="N53" i="41"/>
  <c r="M53" i="41"/>
  <c r="K53" i="41"/>
  <c r="L53" i="41" s="1"/>
  <c r="J53" i="41"/>
  <c r="G53" i="41"/>
  <c r="F53" i="41"/>
  <c r="D53" i="41"/>
  <c r="E53" i="41" s="1"/>
  <c r="C53" i="41"/>
  <c r="AC51" i="41"/>
  <c r="Z51" i="41"/>
  <c r="V51" i="41"/>
  <c r="S51" i="41"/>
  <c r="O51" i="41"/>
  <c r="L51" i="41"/>
  <c r="H51" i="41"/>
  <c r="E51" i="41"/>
  <c r="AC50" i="41"/>
  <c r="Z50" i="41"/>
  <c r="V50" i="41"/>
  <c r="S50" i="41"/>
  <c r="H50" i="41"/>
  <c r="E50" i="41"/>
  <c r="AC49" i="41"/>
  <c r="Z49" i="41"/>
  <c r="V49" i="41"/>
  <c r="S49" i="41"/>
  <c r="O49" i="41"/>
  <c r="L49" i="41"/>
  <c r="H49" i="41"/>
  <c r="E49" i="41"/>
  <c r="AC48" i="41"/>
  <c r="Z48" i="41"/>
  <c r="O48" i="41"/>
  <c r="L48" i="41"/>
  <c r="H48" i="41"/>
  <c r="E48" i="41"/>
  <c r="AC47" i="41"/>
  <c r="Z47" i="41"/>
  <c r="O47" i="41"/>
  <c r="L47" i="41"/>
  <c r="H47" i="41"/>
  <c r="E47" i="41"/>
  <c r="AB46" i="41"/>
  <c r="AA46" i="41"/>
  <c r="Y46" i="41"/>
  <c r="Z46" i="41" s="1"/>
  <c r="X46" i="41"/>
  <c r="U46" i="41"/>
  <c r="V46" i="41" s="1"/>
  <c r="T46" i="41"/>
  <c r="S46" i="41"/>
  <c r="R46" i="41"/>
  <c r="Q46" i="41"/>
  <c r="O46" i="41"/>
  <c r="N46" i="41"/>
  <c r="M46" i="41"/>
  <c r="K46" i="41"/>
  <c r="L46" i="41" s="1"/>
  <c r="J46" i="41"/>
  <c r="G46" i="41"/>
  <c r="F46" i="41"/>
  <c r="D46" i="41"/>
  <c r="C46" i="41"/>
  <c r="AC44" i="41"/>
  <c r="Z44" i="41"/>
  <c r="V44" i="41"/>
  <c r="S44" i="41"/>
  <c r="O44" i="41"/>
  <c r="L44" i="41"/>
  <c r="H44" i="41"/>
  <c r="E44" i="41"/>
  <c r="AC42" i="41"/>
  <c r="Z42" i="41"/>
  <c r="V42" i="41"/>
  <c r="S42" i="41"/>
  <c r="O42" i="41"/>
  <c r="L42" i="41"/>
  <c r="H42" i="41"/>
  <c r="E42" i="41"/>
  <c r="AC41" i="41"/>
  <c r="Z41" i="41"/>
  <c r="O41" i="41"/>
  <c r="L41" i="41"/>
  <c r="H41" i="41"/>
  <c r="E41" i="41"/>
  <c r="AC40" i="41"/>
  <c r="Z40" i="41"/>
  <c r="O40" i="41"/>
  <c r="L40" i="41"/>
  <c r="H40" i="41"/>
  <c r="E40" i="41"/>
  <c r="AB39" i="41"/>
  <c r="AA39" i="41"/>
  <c r="Y39" i="41"/>
  <c r="Z39" i="41" s="1"/>
  <c r="X39" i="41"/>
  <c r="U39" i="41"/>
  <c r="V39" i="41" s="1"/>
  <c r="T39" i="41"/>
  <c r="S39" i="41"/>
  <c r="R39" i="41"/>
  <c r="Q39" i="41"/>
  <c r="O39" i="41"/>
  <c r="N39" i="41"/>
  <c r="M39" i="41"/>
  <c r="K39" i="41"/>
  <c r="L39" i="41" s="1"/>
  <c r="J39" i="41"/>
  <c r="G39" i="41"/>
  <c r="F39" i="41"/>
  <c r="D39" i="41"/>
  <c r="C39" i="41"/>
  <c r="AC37" i="41"/>
  <c r="Z37" i="41"/>
  <c r="V37" i="41"/>
  <c r="S37" i="41"/>
  <c r="O37" i="41"/>
  <c r="L37" i="41"/>
  <c r="H37" i="41"/>
  <c r="E37" i="41"/>
  <c r="H36" i="41"/>
  <c r="E36" i="41"/>
  <c r="AC35" i="41"/>
  <c r="Z35" i="41"/>
  <c r="V35" i="41"/>
  <c r="S35" i="41"/>
  <c r="O35" i="41"/>
  <c r="L35" i="41"/>
  <c r="H35" i="41"/>
  <c r="E35" i="41"/>
  <c r="AC34" i="41"/>
  <c r="Z34" i="41"/>
  <c r="O34" i="41"/>
  <c r="L34" i="41"/>
  <c r="H34" i="41"/>
  <c r="E34" i="41"/>
  <c r="AC33" i="41"/>
  <c r="Z33" i="41"/>
  <c r="O33" i="41"/>
  <c r="L33" i="41"/>
  <c r="H33" i="41"/>
  <c r="E33" i="41"/>
  <c r="AB32" i="41"/>
  <c r="AA32" i="41"/>
  <c r="Y32" i="41"/>
  <c r="Z32" i="41" s="1"/>
  <c r="X32" i="41"/>
  <c r="U32" i="41"/>
  <c r="T32" i="41"/>
  <c r="S32" i="41"/>
  <c r="R32" i="41"/>
  <c r="Q32" i="41"/>
  <c r="O32" i="41"/>
  <c r="N32" i="41"/>
  <c r="M32" i="41"/>
  <c r="L32" i="41"/>
  <c r="K32" i="41"/>
  <c r="J32" i="41"/>
  <c r="G32" i="41"/>
  <c r="F32" i="41"/>
  <c r="D32" i="41"/>
  <c r="C32" i="41"/>
  <c r="AC30" i="41"/>
  <c r="Z30" i="41"/>
  <c r="V30" i="41"/>
  <c r="S30" i="41"/>
  <c r="O30" i="41"/>
  <c r="L30" i="41"/>
  <c r="H30" i="41"/>
  <c r="E30" i="41"/>
  <c r="AC29" i="41"/>
  <c r="Z29" i="41"/>
  <c r="H29" i="41"/>
  <c r="E29" i="41"/>
  <c r="AC28" i="41"/>
  <c r="Z28" i="41"/>
  <c r="V28" i="41"/>
  <c r="S28" i="41"/>
  <c r="H28" i="41"/>
  <c r="E28" i="41"/>
  <c r="AC27" i="41"/>
  <c r="Z27" i="41"/>
  <c r="O27" i="41"/>
  <c r="L27" i="41"/>
  <c r="H27" i="41"/>
  <c r="E27" i="41"/>
  <c r="AC26" i="41"/>
  <c r="Z26" i="41"/>
  <c r="O26" i="41"/>
  <c r="L26" i="41"/>
  <c r="H26" i="41"/>
  <c r="E26" i="41"/>
  <c r="AB25" i="41"/>
  <c r="AA25" i="41"/>
  <c r="Y25" i="41"/>
  <c r="Z25" i="41" s="1"/>
  <c r="X25" i="41"/>
  <c r="U25" i="41"/>
  <c r="T25" i="41"/>
  <c r="S25" i="41"/>
  <c r="R25" i="41"/>
  <c r="Q25" i="41"/>
  <c r="O25" i="41"/>
  <c r="N25" i="41"/>
  <c r="M25" i="41"/>
  <c r="L25" i="41"/>
  <c r="K25" i="41"/>
  <c r="J25" i="41"/>
  <c r="G25" i="41"/>
  <c r="F25" i="41"/>
  <c r="D25" i="41"/>
  <c r="C25" i="41"/>
  <c r="AC16" i="41"/>
  <c r="Z16" i="41"/>
  <c r="V16" i="41"/>
  <c r="S16" i="41"/>
  <c r="O16" i="41"/>
  <c r="L16" i="41"/>
  <c r="H16" i="41"/>
  <c r="E16" i="41"/>
  <c r="AC13" i="41"/>
  <c r="Z13" i="41"/>
  <c r="O13" i="41"/>
  <c r="L13" i="41"/>
  <c r="H13" i="41"/>
  <c r="E13" i="41"/>
  <c r="AC12" i="41"/>
  <c r="Z12" i="41"/>
  <c r="O12" i="41"/>
  <c r="L12" i="41"/>
  <c r="H12" i="41"/>
  <c r="E12" i="41"/>
  <c r="AB11" i="41"/>
  <c r="AA11" i="41"/>
  <c r="Y11" i="41"/>
  <c r="X11" i="41"/>
  <c r="Z11" i="41" s="1"/>
  <c r="U11" i="41"/>
  <c r="T11" i="41"/>
  <c r="V11" i="41" s="1"/>
  <c r="S11" i="41"/>
  <c r="R11" i="41"/>
  <c r="Q11" i="41"/>
  <c r="O11" i="41"/>
  <c r="N11" i="41"/>
  <c r="M11" i="41"/>
  <c r="K11" i="41"/>
  <c r="L11" i="41" s="1"/>
  <c r="J11" i="41"/>
  <c r="G11" i="41"/>
  <c r="H11" i="41" s="1"/>
  <c r="F11" i="41"/>
  <c r="D11" i="41"/>
  <c r="E11" i="41" s="1"/>
  <c r="C11" i="41"/>
  <c r="AC9" i="41"/>
  <c r="Z9" i="41"/>
  <c r="V9" i="41"/>
  <c r="S9" i="41"/>
  <c r="O9" i="41"/>
  <c r="L9" i="41"/>
  <c r="H9" i="41"/>
  <c r="E9" i="41"/>
  <c r="V8" i="41"/>
  <c r="O8" i="41"/>
  <c r="H8" i="41"/>
  <c r="E8" i="41"/>
  <c r="AC7" i="41"/>
  <c r="Z7" i="41"/>
  <c r="V7" i="41"/>
  <c r="S7" i="41"/>
  <c r="O7" i="41"/>
  <c r="L7" i="41"/>
  <c r="H7" i="41"/>
  <c r="E7" i="41"/>
  <c r="AC6" i="41"/>
  <c r="Z6" i="41"/>
  <c r="O6" i="41"/>
  <c r="L6" i="41"/>
  <c r="H6" i="41"/>
  <c r="E6" i="41"/>
  <c r="AC5" i="41"/>
  <c r="Z5" i="41"/>
  <c r="O5" i="41"/>
  <c r="L5" i="41"/>
  <c r="H5" i="41"/>
  <c r="E5" i="41"/>
  <c r="AB4" i="41"/>
  <c r="AA4" i="41"/>
  <c r="AC4" i="41" s="1"/>
  <c r="Z4" i="41"/>
  <c r="Y4" i="41"/>
  <c r="X4" i="41"/>
  <c r="V4" i="41"/>
  <c r="U4" i="41"/>
  <c r="T4" i="41"/>
  <c r="S4" i="41"/>
  <c r="R4" i="41"/>
  <c r="Q4" i="41"/>
  <c r="O4" i="41"/>
  <c r="N4" i="41"/>
  <c r="M4" i="41"/>
  <c r="K4" i="41"/>
  <c r="L4" i="41" s="1"/>
  <c r="J4" i="41"/>
  <c r="G4" i="41"/>
  <c r="F4" i="41"/>
  <c r="D4" i="41"/>
  <c r="C4" i="41"/>
  <c r="E4" i="41" s="1"/>
  <c r="H172" i="41" l="1"/>
  <c r="AC172" i="41"/>
  <c r="AC123" i="41"/>
  <c r="E137" i="41"/>
  <c r="AC137" i="41"/>
  <c r="E144" i="41"/>
  <c r="AC144" i="41"/>
  <c r="E151" i="41"/>
  <c r="AC151" i="41"/>
  <c r="E158" i="41"/>
  <c r="AC158" i="41"/>
  <c r="H123" i="41"/>
  <c r="Z123" i="41"/>
  <c r="V123" i="41"/>
  <c r="Z137" i="41"/>
  <c r="Z144" i="41"/>
  <c r="Z151" i="41"/>
  <c r="Z158" i="41"/>
  <c r="H116" i="41"/>
  <c r="AC116" i="41"/>
  <c r="H88" i="41"/>
  <c r="V88" i="41"/>
  <c r="H95" i="41"/>
  <c r="V95" i="41"/>
  <c r="E102" i="41"/>
  <c r="E109" i="41"/>
  <c r="E88" i="41"/>
  <c r="AC88" i="41"/>
  <c r="E95" i="41"/>
  <c r="AC95" i="41"/>
  <c r="H102" i="41"/>
  <c r="H109" i="41"/>
  <c r="AC102" i="41"/>
  <c r="AC109" i="41"/>
  <c r="H18" i="41"/>
  <c r="AC18" i="41"/>
  <c r="H53" i="41"/>
  <c r="H60" i="41"/>
  <c r="H67" i="41"/>
  <c r="H74" i="41"/>
  <c r="H81" i="41"/>
  <c r="AC53" i="41"/>
  <c r="AC60" i="41"/>
  <c r="AC67" i="41"/>
  <c r="AC74" i="41"/>
  <c r="AC81" i="41"/>
  <c r="H25" i="41"/>
  <c r="V25" i="41"/>
  <c r="H32" i="41"/>
  <c r="V32" i="41"/>
  <c r="E39" i="41"/>
  <c r="E46" i="41"/>
  <c r="E25" i="41"/>
  <c r="AC25" i="41"/>
  <c r="E32" i="41"/>
  <c r="AC32" i="41"/>
  <c r="H39" i="41"/>
  <c r="H46" i="41"/>
  <c r="AC39" i="41"/>
  <c r="AC46" i="41"/>
  <c r="AC11" i="41"/>
  <c r="H4" i="41"/>
  <c r="AB170" i="41" l="1"/>
  <c r="AA170" i="41"/>
  <c r="AA184" i="41" s="1"/>
  <c r="Y170" i="41"/>
  <c r="X170" i="41"/>
  <c r="X184" i="41" s="1"/>
  <c r="U170" i="41"/>
  <c r="T170" i="41"/>
  <c r="T184" i="41" s="1"/>
  <c r="R170" i="41"/>
  <c r="Q170" i="41"/>
  <c r="Q184" i="41" s="1"/>
  <c r="N170" i="41"/>
  <c r="N184" i="41" s="1"/>
  <c r="P177" i="41" s="1"/>
  <c r="M170" i="41"/>
  <c r="M184" i="41" s="1"/>
  <c r="K170" i="41"/>
  <c r="K184" i="41" s="1"/>
  <c r="J170" i="41"/>
  <c r="J184" i="41" s="1"/>
  <c r="G170" i="41"/>
  <c r="F170" i="41"/>
  <c r="F184" i="41" s="1"/>
  <c r="D170" i="41"/>
  <c r="C170" i="41"/>
  <c r="C184" i="41" s="1"/>
  <c r="AB169" i="41"/>
  <c r="AB183" i="41" s="1"/>
  <c r="AD176" i="41" s="1"/>
  <c r="AA169" i="41"/>
  <c r="AA183" i="41" s="1"/>
  <c r="Y169" i="41"/>
  <c r="X169" i="41"/>
  <c r="X183" i="41" s="1"/>
  <c r="U169" i="41"/>
  <c r="T169" i="41"/>
  <c r="T183" i="41" s="1"/>
  <c r="R169" i="41"/>
  <c r="R183" i="41" s="1"/>
  <c r="Q169" i="41"/>
  <c r="Q183" i="41" s="1"/>
  <c r="N169" i="41"/>
  <c r="N183" i="41" s="1"/>
  <c r="P176" i="41" s="1"/>
  <c r="M169" i="41"/>
  <c r="M183" i="41" s="1"/>
  <c r="K169" i="41"/>
  <c r="J169" i="41"/>
  <c r="J183" i="41" s="1"/>
  <c r="G169" i="41"/>
  <c r="F169" i="41"/>
  <c r="F183" i="41" s="1"/>
  <c r="D169" i="41"/>
  <c r="C169" i="41"/>
  <c r="C183" i="41" s="1"/>
  <c r="AB168" i="41"/>
  <c r="AA168" i="41"/>
  <c r="AA182" i="41" s="1"/>
  <c r="Y168" i="41"/>
  <c r="Y182" i="41" s="1"/>
  <c r="X168" i="41"/>
  <c r="X182" i="41" s="1"/>
  <c r="U168" i="41"/>
  <c r="T168" i="41"/>
  <c r="T182" i="41" s="1"/>
  <c r="R168" i="41"/>
  <c r="R182" i="41" s="1"/>
  <c r="Q168" i="41"/>
  <c r="Q182" i="41" s="1"/>
  <c r="N168" i="41"/>
  <c r="N182" i="41" s="1"/>
  <c r="P175" i="41" s="1"/>
  <c r="M168" i="41"/>
  <c r="M182" i="41" s="1"/>
  <c r="K168" i="41"/>
  <c r="K182" i="41" s="1"/>
  <c r="J168" i="41"/>
  <c r="J182" i="41" s="1"/>
  <c r="G168" i="41"/>
  <c r="F168" i="41"/>
  <c r="F182" i="41" s="1"/>
  <c r="D168" i="41"/>
  <c r="C168" i="41"/>
  <c r="C182" i="41" s="1"/>
  <c r="AB167" i="41"/>
  <c r="AA167" i="41"/>
  <c r="AA181" i="41" s="1"/>
  <c r="Y167" i="41"/>
  <c r="Y181" i="41" s="1"/>
  <c r="X167" i="41"/>
  <c r="X181" i="41" s="1"/>
  <c r="U167" i="41"/>
  <c r="T167" i="41"/>
  <c r="T181" i="41" s="1"/>
  <c r="R167" i="41"/>
  <c r="R181" i="41" s="1"/>
  <c r="Q167" i="41"/>
  <c r="Q181" i="41" s="1"/>
  <c r="N167" i="41"/>
  <c r="M167" i="41"/>
  <c r="M181" i="41" s="1"/>
  <c r="K167" i="41"/>
  <c r="J167" i="41"/>
  <c r="J181" i="41" s="1"/>
  <c r="G167" i="41"/>
  <c r="F167" i="41"/>
  <c r="F181" i="41" s="1"/>
  <c r="D167" i="41"/>
  <c r="C167" i="41"/>
  <c r="AB166" i="41"/>
  <c r="AA166" i="41"/>
  <c r="AA180" i="41" s="1"/>
  <c r="Y166" i="41"/>
  <c r="X166" i="41"/>
  <c r="U166" i="41"/>
  <c r="T166" i="41"/>
  <c r="T180" i="41" s="1"/>
  <c r="R166" i="41"/>
  <c r="Q166" i="41"/>
  <c r="Q180" i="41" s="1"/>
  <c r="N166" i="41"/>
  <c r="M166" i="41"/>
  <c r="M180" i="41" s="1"/>
  <c r="K166" i="41"/>
  <c r="J166" i="41"/>
  <c r="J180" i="41" s="1"/>
  <c r="G166" i="41"/>
  <c r="G180" i="41" s="1"/>
  <c r="I173" i="41" s="1"/>
  <c r="F166" i="41"/>
  <c r="F180" i="41" s="1"/>
  <c r="D166" i="41"/>
  <c r="C166" i="41"/>
  <c r="C180" i="41" s="1"/>
  <c r="I117" i="41" l="1"/>
  <c r="I159" i="41"/>
  <c r="I152" i="41"/>
  <c r="I145" i="41"/>
  <c r="I138" i="41"/>
  <c r="I131" i="41"/>
  <c r="I124" i="41"/>
  <c r="P119" i="41"/>
  <c r="P161" i="41"/>
  <c r="P154" i="41"/>
  <c r="P147" i="41"/>
  <c r="P140" i="41"/>
  <c r="P133" i="41"/>
  <c r="P126" i="41"/>
  <c r="P120" i="41"/>
  <c r="P162" i="41"/>
  <c r="P155" i="41"/>
  <c r="P148" i="41"/>
  <c r="P141" i="41"/>
  <c r="P134" i="41"/>
  <c r="P127" i="41"/>
  <c r="AD120" i="41"/>
  <c r="AD162" i="41"/>
  <c r="AD155" i="41"/>
  <c r="AD148" i="41"/>
  <c r="AD141" i="41"/>
  <c r="AD134" i="41"/>
  <c r="AD127" i="41"/>
  <c r="P121" i="41"/>
  <c r="P128" i="41"/>
  <c r="P163" i="41"/>
  <c r="P156" i="41"/>
  <c r="P149" i="41"/>
  <c r="P142" i="41"/>
  <c r="P135" i="41"/>
  <c r="I19" i="41"/>
  <c r="I110" i="41"/>
  <c r="I103" i="41"/>
  <c r="I96" i="41"/>
  <c r="I89" i="41"/>
  <c r="P21" i="41"/>
  <c r="P112" i="41"/>
  <c r="P105" i="41"/>
  <c r="P98" i="41"/>
  <c r="P91" i="41"/>
  <c r="P22" i="41"/>
  <c r="P113" i="41"/>
  <c r="P106" i="41"/>
  <c r="P99" i="41"/>
  <c r="P92" i="41"/>
  <c r="AD22" i="41"/>
  <c r="AD113" i="41"/>
  <c r="AD106" i="41"/>
  <c r="AD99" i="41"/>
  <c r="AD92" i="41"/>
  <c r="P23" i="41"/>
  <c r="P114" i="41"/>
  <c r="P107" i="41"/>
  <c r="P100" i="41"/>
  <c r="P93" i="41"/>
  <c r="P84" i="41"/>
  <c r="P77" i="41"/>
  <c r="P70" i="41"/>
  <c r="P63" i="41"/>
  <c r="P56" i="41"/>
  <c r="P85" i="41"/>
  <c r="P78" i="41"/>
  <c r="P71" i="41"/>
  <c r="P64" i="41"/>
  <c r="P57" i="41"/>
  <c r="AD85" i="41"/>
  <c r="AD78" i="41"/>
  <c r="AD71" i="41"/>
  <c r="AD64" i="41"/>
  <c r="AD57" i="41"/>
  <c r="I82" i="41"/>
  <c r="I75" i="41"/>
  <c r="I68" i="41"/>
  <c r="I61" i="41"/>
  <c r="I54" i="41"/>
  <c r="P86" i="41"/>
  <c r="P79" i="41"/>
  <c r="P72" i="41"/>
  <c r="P65" i="41"/>
  <c r="P58" i="41"/>
  <c r="I12" i="41"/>
  <c r="I47" i="41"/>
  <c r="I40" i="41"/>
  <c r="I33" i="41"/>
  <c r="I26" i="41"/>
  <c r="P14" i="41"/>
  <c r="P49" i="41"/>
  <c r="P42" i="41"/>
  <c r="P35" i="41"/>
  <c r="P28" i="41"/>
  <c r="P15" i="41"/>
  <c r="P50" i="41"/>
  <c r="P43" i="41"/>
  <c r="P36" i="41"/>
  <c r="P29" i="41"/>
  <c r="AD15" i="41"/>
  <c r="AD50" i="41"/>
  <c r="AD43" i="41"/>
  <c r="AD36" i="41"/>
  <c r="AD29" i="41"/>
  <c r="P16" i="41"/>
  <c r="P51" i="41"/>
  <c r="P44" i="41"/>
  <c r="P37" i="41"/>
  <c r="P30" i="41"/>
  <c r="I5" i="41"/>
  <c r="P7" i="41"/>
  <c r="P8" i="41"/>
  <c r="AD8" i="41"/>
  <c r="P9" i="41"/>
  <c r="U165" i="41"/>
  <c r="O167" i="41"/>
  <c r="P168" i="41"/>
  <c r="V169" i="41"/>
  <c r="L166" i="41"/>
  <c r="L182" i="41"/>
  <c r="N180" i="41"/>
  <c r="P173" i="41" s="1"/>
  <c r="O166" i="41"/>
  <c r="Z182" i="41"/>
  <c r="L169" i="41"/>
  <c r="P184" i="41"/>
  <c r="L168" i="41"/>
  <c r="M165" i="41"/>
  <c r="R180" i="41"/>
  <c r="K183" i="41"/>
  <c r="L183" i="41" s="1"/>
  <c r="Z166" i="41"/>
  <c r="L167" i="41"/>
  <c r="Z169" i="41"/>
  <c r="R184" i="41"/>
  <c r="S184" i="41" s="1"/>
  <c r="S170" i="41"/>
  <c r="K181" i="41"/>
  <c r="L181" i="41" s="1"/>
  <c r="Y165" i="41"/>
  <c r="F179" i="41"/>
  <c r="T179" i="41"/>
  <c r="H169" i="41"/>
  <c r="S183" i="41"/>
  <c r="F165" i="41"/>
  <c r="Q165" i="41"/>
  <c r="AA165" i="41"/>
  <c r="AB165" i="41"/>
  <c r="G165" i="41"/>
  <c r="H165" i="41" s="1"/>
  <c r="H167" i="41"/>
  <c r="O182" i="41"/>
  <c r="S169" i="41"/>
  <c r="O170" i="41"/>
  <c r="J165" i="41"/>
  <c r="R165" i="41"/>
  <c r="N181" i="41"/>
  <c r="P174" i="41" s="1"/>
  <c r="N165" i="41"/>
  <c r="Z181" i="41"/>
  <c r="O168" i="41"/>
  <c r="S168" i="41"/>
  <c r="O169" i="41"/>
  <c r="L170" i="41"/>
  <c r="X165" i="41"/>
  <c r="Z167" i="41"/>
  <c r="S182" i="41"/>
  <c r="Z168" i="41"/>
  <c r="Z170" i="41"/>
  <c r="AA179" i="41"/>
  <c r="H180" i="41"/>
  <c r="O184" i="41"/>
  <c r="T165" i="41"/>
  <c r="C165" i="41"/>
  <c r="C181" i="41"/>
  <c r="C179" i="41" s="1"/>
  <c r="AC167" i="41"/>
  <c r="AB181" i="41"/>
  <c r="AD174" i="41" s="1"/>
  <c r="H168" i="41"/>
  <c r="G182" i="41"/>
  <c r="I175" i="41" s="1"/>
  <c r="X180" i="41"/>
  <c r="X179" i="41" s="1"/>
  <c r="E169" i="41"/>
  <c r="D183" i="41"/>
  <c r="E183" i="41" s="1"/>
  <c r="P183" i="41"/>
  <c r="O183" i="41"/>
  <c r="P169" i="41"/>
  <c r="P170" i="41"/>
  <c r="AD183" i="41"/>
  <c r="AC183" i="41"/>
  <c r="D165" i="41"/>
  <c r="E166" i="41"/>
  <c r="D180" i="41"/>
  <c r="K180" i="41"/>
  <c r="K165" i="41"/>
  <c r="E167" i="41"/>
  <c r="D181" i="41"/>
  <c r="AD169" i="41"/>
  <c r="AC169" i="41"/>
  <c r="H170" i="41"/>
  <c r="G184" i="41"/>
  <c r="I177" i="41" s="1"/>
  <c r="AC170" i="41"/>
  <c r="AB184" i="41"/>
  <c r="AD177" i="41" s="1"/>
  <c r="I180" i="41"/>
  <c r="I166" i="41"/>
  <c r="H166" i="41"/>
  <c r="AC168" i="41"/>
  <c r="AB182" i="41"/>
  <c r="AD175" i="41" s="1"/>
  <c r="G183" i="41"/>
  <c r="I176" i="41" s="1"/>
  <c r="E170" i="41"/>
  <c r="D184" i="41"/>
  <c r="E184" i="41" s="1"/>
  <c r="L184" i="41"/>
  <c r="P182" i="41"/>
  <c r="J179" i="41"/>
  <c r="AC166" i="41"/>
  <c r="AB180" i="41"/>
  <c r="AD173" i="41" s="1"/>
  <c r="G181" i="41"/>
  <c r="I174" i="41" s="1"/>
  <c r="E168" i="41"/>
  <c r="D182" i="41"/>
  <c r="E182" i="41" s="1"/>
  <c r="M179" i="41"/>
  <c r="Q179" i="41"/>
  <c r="V168" i="41"/>
  <c r="V170" i="41"/>
  <c r="U180" i="41"/>
  <c r="Y180" i="41"/>
  <c r="U181" i="41"/>
  <c r="U182" i="41"/>
  <c r="W175" i="41" s="1"/>
  <c r="U183" i="41"/>
  <c r="W176" i="41" s="1"/>
  <c r="Y183" i="41"/>
  <c r="Z183" i="41" s="1"/>
  <c r="U184" i="41"/>
  <c r="W177" i="41" s="1"/>
  <c r="Y184" i="41"/>
  <c r="Z184" i="41" s="1"/>
  <c r="W121" i="41" l="1"/>
  <c r="W128" i="41"/>
  <c r="W163" i="41"/>
  <c r="W156" i="41"/>
  <c r="W149" i="41"/>
  <c r="W142" i="41"/>
  <c r="W135" i="41"/>
  <c r="I118" i="41"/>
  <c r="I160" i="41"/>
  <c r="I153" i="41"/>
  <c r="I146" i="41"/>
  <c r="I139" i="41"/>
  <c r="I132" i="41"/>
  <c r="I125" i="41"/>
  <c r="I120" i="41"/>
  <c r="I162" i="41"/>
  <c r="I155" i="41"/>
  <c r="I148" i="41"/>
  <c r="I141" i="41"/>
  <c r="I134" i="41"/>
  <c r="I127" i="41"/>
  <c r="AD121" i="41"/>
  <c r="AD163" i="41"/>
  <c r="AD156" i="41"/>
  <c r="AD149" i="41"/>
  <c r="AD142" i="41"/>
  <c r="AD135" i="41"/>
  <c r="AD128" i="41"/>
  <c r="I119" i="41"/>
  <c r="I161" i="41"/>
  <c r="I154" i="41"/>
  <c r="I147" i="41"/>
  <c r="I140" i="41"/>
  <c r="I133" i="41"/>
  <c r="I126" i="41"/>
  <c r="P117" i="41"/>
  <c r="P124" i="41"/>
  <c r="P159" i="41"/>
  <c r="P152" i="41"/>
  <c r="P145" i="41"/>
  <c r="P138" i="41"/>
  <c r="P131" i="41"/>
  <c r="W120" i="41"/>
  <c r="W162" i="41"/>
  <c r="W155" i="41"/>
  <c r="W148" i="41"/>
  <c r="W141" i="41"/>
  <c r="W134" i="41"/>
  <c r="W127" i="41"/>
  <c r="AD117" i="41"/>
  <c r="AD159" i="41"/>
  <c r="AD152" i="41"/>
  <c r="AD145" i="41"/>
  <c r="AD138" i="41"/>
  <c r="AD131" i="41"/>
  <c r="AD124" i="41"/>
  <c r="AD119" i="41"/>
  <c r="AD161" i="41"/>
  <c r="AD154" i="41"/>
  <c r="AD147" i="41"/>
  <c r="AD140" i="41"/>
  <c r="AD133" i="41"/>
  <c r="AD126" i="41"/>
  <c r="P118" i="41"/>
  <c r="P125" i="41"/>
  <c r="P160" i="41"/>
  <c r="P153" i="41"/>
  <c r="P146" i="41"/>
  <c r="P139" i="41"/>
  <c r="P132" i="41"/>
  <c r="W119" i="41"/>
  <c r="W161" i="41"/>
  <c r="W154" i="41"/>
  <c r="W147" i="41"/>
  <c r="W140" i="41"/>
  <c r="W133" i="41"/>
  <c r="W126" i="41"/>
  <c r="I121" i="41"/>
  <c r="I163" i="41"/>
  <c r="I156" i="41"/>
  <c r="I149" i="41"/>
  <c r="I142" i="41"/>
  <c r="I135" i="41"/>
  <c r="I128" i="41"/>
  <c r="AD118" i="41"/>
  <c r="AD160" i="41"/>
  <c r="AD153" i="41"/>
  <c r="AD146" i="41"/>
  <c r="AD139" i="41"/>
  <c r="AD132" i="41"/>
  <c r="AD125" i="41"/>
  <c r="W23" i="41"/>
  <c r="W93" i="41"/>
  <c r="W114" i="41"/>
  <c r="W107" i="41"/>
  <c r="W100" i="41"/>
  <c r="AD20" i="41"/>
  <c r="AD111" i="41"/>
  <c r="AD104" i="41"/>
  <c r="AD97" i="41"/>
  <c r="AD90" i="41"/>
  <c r="P19" i="41"/>
  <c r="P110" i="41"/>
  <c r="P103" i="41"/>
  <c r="P96" i="41"/>
  <c r="P89" i="41"/>
  <c r="I20" i="41"/>
  <c r="I111" i="41"/>
  <c r="I104" i="41"/>
  <c r="I97" i="41"/>
  <c r="I90" i="41"/>
  <c r="I22" i="41"/>
  <c r="I113" i="41"/>
  <c r="I106" i="41"/>
  <c r="I99" i="41"/>
  <c r="I92" i="41"/>
  <c r="AD23" i="41"/>
  <c r="AD114" i="41"/>
  <c r="AD107" i="41"/>
  <c r="AD100" i="41"/>
  <c r="AD93" i="41"/>
  <c r="W22" i="41"/>
  <c r="W113" i="41"/>
  <c r="W106" i="41"/>
  <c r="W99" i="41"/>
  <c r="W92" i="41"/>
  <c r="AD19" i="41"/>
  <c r="AD110" i="41"/>
  <c r="AD103" i="41"/>
  <c r="AD96" i="41"/>
  <c r="AD89" i="41"/>
  <c r="AD21" i="41"/>
  <c r="AD112" i="41"/>
  <c r="AD105" i="41"/>
  <c r="AD98" i="41"/>
  <c r="AD91" i="41"/>
  <c r="I21" i="41"/>
  <c r="I112" i="41"/>
  <c r="I105" i="41"/>
  <c r="I98" i="41"/>
  <c r="I91" i="41"/>
  <c r="W21" i="41"/>
  <c r="W112" i="41"/>
  <c r="W105" i="41"/>
  <c r="W98" i="41"/>
  <c r="W91" i="41"/>
  <c r="I23" i="41"/>
  <c r="I114" i="41"/>
  <c r="I107" i="41"/>
  <c r="I100" i="41"/>
  <c r="I93" i="41"/>
  <c r="P20" i="41"/>
  <c r="P111" i="41"/>
  <c r="P104" i="41"/>
  <c r="P97" i="41"/>
  <c r="P90" i="41"/>
  <c r="V165" i="41"/>
  <c r="I83" i="41"/>
  <c r="I76" i="41"/>
  <c r="I69" i="41"/>
  <c r="I62" i="41"/>
  <c r="I55" i="41"/>
  <c r="I85" i="41"/>
  <c r="I78" i="41"/>
  <c r="I71" i="41"/>
  <c r="I64" i="41"/>
  <c r="I57" i="41"/>
  <c r="AD82" i="41"/>
  <c r="AD75" i="41"/>
  <c r="AD68" i="41"/>
  <c r="AD61" i="41"/>
  <c r="AD54" i="41"/>
  <c r="AD84" i="41"/>
  <c r="AD77" i="41"/>
  <c r="AD70" i="41"/>
  <c r="AD63" i="41"/>
  <c r="AD56" i="41"/>
  <c r="I84" i="41"/>
  <c r="I77" i="41"/>
  <c r="I70" i="41"/>
  <c r="I63" i="41"/>
  <c r="I56" i="41"/>
  <c r="W84" i="41"/>
  <c r="W77" i="41"/>
  <c r="W70" i="41"/>
  <c r="W63" i="41"/>
  <c r="W56" i="41"/>
  <c r="I86" i="41"/>
  <c r="I79" i="41"/>
  <c r="I72" i="41"/>
  <c r="I65" i="41"/>
  <c r="I58" i="41"/>
  <c r="AD86" i="41"/>
  <c r="AD79" i="41"/>
  <c r="AD72" i="41"/>
  <c r="AD65" i="41"/>
  <c r="AD58" i="41"/>
  <c r="W85" i="41"/>
  <c r="W78" i="41"/>
  <c r="W71" i="41"/>
  <c r="W64" i="41"/>
  <c r="W57" i="41"/>
  <c r="P82" i="41"/>
  <c r="P75" i="41"/>
  <c r="P68" i="41"/>
  <c r="P61" i="41"/>
  <c r="P54" i="41"/>
  <c r="W86" i="41"/>
  <c r="W79" i="41"/>
  <c r="W72" i="41"/>
  <c r="W65" i="41"/>
  <c r="W58" i="41"/>
  <c r="AD83" i="41"/>
  <c r="AD76" i="41"/>
  <c r="AD69" i="41"/>
  <c r="AD62" i="41"/>
  <c r="AD55" i="41"/>
  <c r="P83" i="41"/>
  <c r="P76" i="41"/>
  <c r="P69" i="41"/>
  <c r="P62" i="41"/>
  <c r="P55" i="41"/>
  <c r="W14" i="41"/>
  <c r="W49" i="41"/>
  <c r="W42" i="41"/>
  <c r="W35" i="41"/>
  <c r="W28" i="41"/>
  <c r="I16" i="41"/>
  <c r="I51" i="41"/>
  <c r="I44" i="41"/>
  <c r="I37" i="41"/>
  <c r="I30" i="41"/>
  <c r="P12" i="41"/>
  <c r="P47" i="41"/>
  <c r="P40" i="41"/>
  <c r="P33" i="41"/>
  <c r="P26" i="41"/>
  <c r="W16" i="41"/>
  <c r="W30" i="41"/>
  <c r="W51" i="41"/>
  <c r="W44" i="41"/>
  <c r="W37" i="41"/>
  <c r="AD13" i="41"/>
  <c r="AD48" i="41"/>
  <c r="AD41" i="41"/>
  <c r="AD34" i="41"/>
  <c r="AD27" i="41"/>
  <c r="P13" i="41"/>
  <c r="P48" i="41"/>
  <c r="P41" i="41"/>
  <c r="P34" i="41"/>
  <c r="P27" i="41"/>
  <c r="I13" i="41"/>
  <c r="I48" i="41"/>
  <c r="I41" i="41"/>
  <c r="I34" i="41"/>
  <c r="I27" i="41"/>
  <c r="I15" i="41"/>
  <c r="I50" i="41"/>
  <c r="I43" i="41"/>
  <c r="I36" i="41"/>
  <c r="I29" i="41"/>
  <c r="AD16" i="41"/>
  <c r="AD51" i="41"/>
  <c r="AD44" i="41"/>
  <c r="AD37" i="41"/>
  <c r="AD30" i="41"/>
  <c r="P166" i="41"/>
  <c r="W15" i="41"/>
  <c r="W50" i="41"/>
  <c r="W43" i="41"/>
  <c r="W36" i="41"/>
  <c r="W29" i="41"/>
  <c r="AD12" i="41"/>
  <c r="AD47" i="41"/>
  <c r="AD40" i="41"/>
  <c r="AD33" i="41"/>
  <c r="AD26" i="41"/>
  <c r="AD14" i="41"/>
  <c r="AD49" i="41"/>
  <c r="AD42" i="41"/>
  <c r="AD35" i="41"/>
  <c r="AD28" i="41"/>
  <c r="I14" i="41"/>
  <c r="I49" i="41"/>
  <c r="I42" i="41"/>
  <c r="I35" i="41"/>
  <c r="I28" i="41"/>
  <c r="I170" i="41"/>
  <c r="W9" i="41"/>
  <c r="P5" i="41"/>
  <c r="I6" i="41"/>
  <c r="I8" i="41"/>
  <c r="AD9" i="41"/>
  <c r="AD6" i="41"/>
  <c r="W8" i="41"/>
  <c r="AD5" i="41"/>
  <c r="AD7" i="41"/>
  <c r="P6" i="41"/>
  <c r="W7" i="41"/>
  <c r="I9" i="41"/>
  <c r="I7" i="41"/>
  <c r="AC165" i="41"/>
  <c r="L165" i="41"/>
  <c r="Z165" i="41"/>
  <c r="R179" i="41"/>
  <c r="S179" i="41" s="1"/>
  <c r="O180" i="41"/>
  <c r="O165" i="41"/>
  <c r="P180" i="41"/>
  <c r="E165" i="41"/>
  <c r="O181" i="41"/>
  <c r="P181" i="41"/>
  <c r="AD166" i="41"/>
  <c r="AD168" i="41"/>
  <c r="AD170" i="41"/>
  <c r="G179" i="41"/>
  <c r="I172" i="41" s="1"/>
  <c r="AD167" i="41"/>
  <c r="N179" i="41"/>
  <c r="P172" i="41" s="1"/>
  <c r="I169" i="41"/>
  <c r="S165" i="41"/>
  <c r="P167" i="41"/>
  <c r="V182" i="41"/>
  <c r="W182" i="41"/>
  <c r="W168" i="41"/>
  <c r="Z180" i="41"/>
  <c r="Y179" i="41"/>
  <c r="Z179" i="41" s="1"/>
  <c r="AD180" i="41"/>
  <c r="AC180" i="41"/>
  <c r="AB179" i="41"/>
  <c r="AD172" i="41" s="1"/>
  <c r="L180" i="41"/>
  <c r="K179" i="41"/>
  <c r="L179" i="41" s="1"/>
  <c r="I181" i="41"/>
  <c r="H181" i="41"/>
  <c r="AD184" i="41"/>
  <c r="AC184" i="41"/>
  <c r="AD181" i="41"/>
  <c r="AC181" i="41"/>
  <c r="V184" i="41"/>
  <c r="W184" i="41"/>
  <c r="W170" i="41"/>
  <c r="I167" i="41"/>
  <c r="I183" i="41"/>
  <c r="H183" i="41"/>
  <c r="I182" i="41"/>
  <c r="H182" i="41"/>
  <c r="V183" i="41"/>
  <c r="W183" i="41"/>
  <c r="W169" i="41"/>
  <c r="U179" i="41"/>
  <c r="W172" i="41" s="1"/>
  <c r="AD182" i="41"/>
  <c r="AC182" i="41"/>
  <c r="I184" i="41"/>
  <c r="H184" i="41"/>
  <c r="E181" i="41"/>
  <c r="E180" i="41"/>
  <c r="D179" i="41"/>
  <c r="E179" i="41" s="1"/>
  <c r="I168" i="41"/>
  <c r="N203" i="30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W116" i="41" l="1"/>
  <c r="W158" i="41"/>
  <c r="W151" i="41"/>
  <c r="W144" i="41"/>
  <c r="W137" i="41"/>
  <c r="W130" i="41"/>
  <c r="W123" i="41"/>
  <c r="I116" i="41"/>
  <c r="I130" i="41"/>
  <c r="I137" i="41"/>
  <c r="I151" i="41"/>
  <c r="I123" i="41"/>
  <c r="I144" i="41"/>
  <c r="I158" i="41"/>
  <c r="AD116" i="41"/>
  <c r="AD158" i="41"/>
  <c r="AD151" i="41"/>
  <c r="AD123" i="41"/>
  <c r="AD144" i="41"/>
  <c r="AD130" i="41"/>
  <c r="AD137" i="41"/>
  <c r="P116" i="41"/>
  <c r="P158" i="41"/>
  <c r="P151" i="41"/>
  <c r="P144" i="41"/>
  <c r="P137" i="41"/>
  <c r="P130" i="41"/>
  <c r="P123" i="41"/>
  <c r="I165" i="41"/>
  <c r="AD18" i="41"/>
  <c r="AD95" i="41"/>
  <c r="AD88" i="41"/>
  <c r="AD102" i="41"/>
  <c r="AD109" i="41"/>
  <c r="W18" i="41"/>
  <c r="W109" i="41"/>
  <c r="W102" i="41"/>
  <c r="W95" i="41"/>
  <c r="W88" i="41"/>
  <c r="P18" i="41"/>
  <c r="P109" i="41"/>
  <c r="P102" i="41"/>
  <c r="P95" i="41"/>
  <c r="P88" i="41"/>
  <c r="I18" i="41"/>
  <c r="I88" i="41"/>
  <c r="I102" i="41"/>
  <c r="I95" i="41"/>
  <c r="I109" i="41"/>
  <c r="AD60" i="41"/>
  <c r="AD53" i="41"/>
  <c r="AD81" i="41"/>
  <c r="AD74" i="41"/>
  <c r="AD67" i="41"/>
  <c r="W81" i="41"/>
  <c r="W53" i="41"/>
  <c r="W74" i="41"/>
  <c r="W67" i="41"/>
  <c r="W60" i="41"/>
  <c r="P81" i="41"/>
  <c r="P74" i="41"/>
  <c r="P67" i="41"/>
  <c r="P60" i="41"/>
  <c r="P53" i="41"/>
  <c r="I60" i="41"/>
  <c r="I74" i="41"/>
  <c r="I67" i="41"/>
  <c r="I53" i="41"/>
  <c r="I81" i="41"/>
  <c r="AD11" i="41"/>
  <c r="AD32" i="41"/>
  <c r="AD25" i="41"/>
  <c r="AD39" i="41"/>
  <c r="AD46" i="41"/>
  <c r="P11" i="41"/>
  <c r="P46" i="41"/>
  <c r="P39" i="41"/>
  <c r="P32" i="41"/>
  <c r="P25" i="41"/>
  <c r="I25" i="41"/>
  <c r="I39" i="41"/>
  <c r="I32" i="41"/>
  <c r="I46" i="41"/>
  <c r="W11" i="41"/>
  <c r="W46" i="41"/>
  <c r="W39" i="41"/>
  <c r="W32" i="41"/>
  <c r="W25" i="41"/>
  <c r="I179" i="41"/>
  <c r="I11" i="41"/>
  <c r="AD4" i="41"/>
  <c r="W4" i="41"/>
  <c r="P4" i="41"/>
  <c r="I4" i="41"/>
  <c r="P179" i="41"/>
  <c r="H179" i="41"/>
  <c r="O179" i="41"/>
  <c r="P165" i="41"/>
  <c r="V179" i="41"/>
  <c r="W179" i="41"/>
  <c r="W165" i="41"/>
  <c r="AD179" i="41"/>
  <c r="AC179" i="41"/>
  <c r="AD165" i="41"/>
  <c r="I196" i="30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<sst xmlns="http://schemas.openxmlformats.org/spreadsheetml/2006/main" count="760" uniqueCount="70">
  <si>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</si>
  <si>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</si>
  <si>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</si>
  <si>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</si>
  <si>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</si>
  <si>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</si>
  <si>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</si>
  <si>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</si>
  <si>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</si>
  <si>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</si>
  <si>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</si>
  <si>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</si>
  <si>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</si>
  <si>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</si>
  <si>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</si>
  <si>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</si>
  <si>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</si>
  <si>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</si>
  <si>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</si>
  <si>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</si>
  <si>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</si>
  <si>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</si>
  <si>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</si>
  <si>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</si>
  <si>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</si>
  <si>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</si>
  <si>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</si>
  <si>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</si>
  <si>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</si>
  <si>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</si>
  <si>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</si>
  <si>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</si>
  <si>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</si>
  <si>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</si>
  <si>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</si>
  <si>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</si>
  <si>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</si>
  <si>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</si>
  <si>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</si>
  <si>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</si>
  <si>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</si>
  <si>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</si>
  <si>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</si>
  <si>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</si>
  <si>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</si>
  <si>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</si>
  <si>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</si>
  <si>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</si>
  <si>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</si>
  <si>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</si>
  <si>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</si>
  <si>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</si>
  <si>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</si>
  <si>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</si>
  <si>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</si>
  <si>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</si>
  <si>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</si>
  <si>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</si>
  <si>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Pramerica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</si>
  <si>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</si>
  <si>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</si>
  <si>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</si>
  <si>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>For September, 2020</t>
  </si>
  <si>
    <t>For September, 2021</t>
  </si>
  <si>
    <t>Up to 30th Sept, 2020</t>
  </si>
  <si>
    <t>Up to 30th Sept, 2021</t>
  </si>
  <si>
    <t>Ageas Federal Life</t>
  </si>
  <si>
    <t xml:space="preserve">First Year Premium  </t>
  </si>
  <si>
    <t>or September, 2020</t>
  </si>
  <si>
    <t>New Business Statement of Life Insurers for the Period ended 30th September,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</si>
</sst>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2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6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8" fillId="2" borderId="1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18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8" fillId="0" borderId="1" xfId="1" applyNumberFormat="1" applyFont="1" applyFill="1" applyBorder="1"/>
    <xf numFmtId="2" fontId="5" fillId="0" borderId="1" xfId="1" applyNumberFormat="1" applyFont="1" applyFill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1" fontId="8" fillId="0" borderId="1" xfId="1" applyNumberFormat="1" applyFont="1" applyFill="1" applyBorder="1"/>
    <xf numFmtId="2" fontId="8" fillId="0" borderId="1" xfId="0" applyNumberFormat="1" applyFont="1" applyBorder="1"/>
    <xf numFmtId="1" fontId="8" fillId="2" borderId="1" xfId="0" applyNumberFormat="1" applyFont="1" applyFill="1" applyBorder="1"/>
    <xf numFmtId="2" fontId="19" fillId="2" borderId="1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21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0" fillId="0" borderId="2" xfId="0" quotePrefix="1" applyFont="1" applyBorder="1" applyAlignment="1">
      <alignment horizontal="center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23" t="s">
        <v>49</v>
      </c>
      <c r="B1" s="124"/>
      <c r="C1" s="124"/>
      <c r="D1" s="124"/>
      <c r="E1" s="124"/>
      <c r="F1" s="124"/>
      <c r="G1" s="124"/>
      <c r="H1" s="124"/>
      <c r="I1" s="120" t="s">
        <v>26</v>
      </c>
      <c r="J1" s="120"/>
      <c r="K1" s="120"/>
    </row>
    <row r="2" spans="1:11" ht="41.25" customHeight="1">
      <c r="A2" s="121" t="s">
        <v>2</v>
      </c>
      <c r="B2" s="121" t="s">
        <v>0</v>
      </c>
      <c r="C2" s="121" t="s">
        <v>51</v>
      </c>
      <c r="D2" s="121"/>
      <c r="E2" s="121"/>
      <c r="F2" s="121" t="s">
        <v>8</v>
      </c>
      <c r="G2" s="121"/>
      <c r="H2" s="121"/>
      <c r="I2" s="122" t="s">
        <v>9</v>
      </c>
      <c r="J2" s="122"/>
      <c r="K2" s="122"/>
    </row>
    <row r="3" spans="1:11" s="4" customFormat="1" ht="39.75" customHeight="1">
      <c r="A3" s="121"/>
      <c r="B3" s="121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">
      <c r="A4" s="16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2">
        <v>302997</v>
      </c>
      <c r="G4" s="22">
        <v>248751</v>
      </c>
      <c r="H4" s="7">
        <v>-17.903147555916394</v>
      </c>
      <c r="I4" s="22">
        <v>1634153</v>
      </c>
      <c r="J4" s="22">
        <v>2862143</v>
      </c>
      <c r="K4" s="7">
        <v>75.145350527153823</v>
      </c>
    </row>
    <row r="5" spans="1:11" s="4" customFormat="1" ht="15">
      <c r="A5" s="16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4">
        <v>47848</v>
      </c>
      <c r="G5" s="14">
        <v>68891</v>
      </c>
      <c r="H5" s="3">
        <v>43.978849690687177</v>
      </c>
      <c r="I5" s="14">
        <v>46012</v>
      </c>
      <c r="J5" s="14">
        <v>54549</v>
      </c>
      <c r="K5" s="3">
        <v>18.55385551595236</v>
      </c>
    </row>
    <row r="6" spans="1:11" s="4" customFormat="1" ht="15">
      <c r="A6" s="16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4">
        <v>35176</v>
      </c>
      <c r="G6" s="14">
        <v>36379</v>
      </c>
      <c r="H6" s="3">
        <v>3.4199454173299975</v>
      </c>
      <c r="I6" s="14">
        <v>167022</v>
      </c>
      <c r="J6" s="14">
        <v>361162</v>
      </c>
      <c r="K6" s="3">
        <v>116.23618445474249</v>
      </c>
    </row>
    <row r="7" spans="1:11" s="4" customFormat="1" ht="15">
      <c r="A7" s="16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4">
        <v>273800</v>
      </c>
      <c r="G7" s="14">
        <v>308501</v>
      </c>
      <c r="H7" s="3">
        <v>12.673849525200875</v>
      </c>
      <c r="I7" s="14">
        <v>43774126</v>
      </c>
      <c r="J7" s="14">
        <v>38128462</v>
      </c>
      <c r="K7" s="3">
        <v>-12.897262643233583</v>
      </c>
    </row>
    <row r="8" spans="1:11" s="4" customFormat="1" ht="15">
      <c r="A8" s="16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4">
        <v>111380</v>
      </c>
      <c r="G8" s="14">
        <v>123936</v>
      </c>
      <c r="H8" s="3">
        <v>11.273119051894415</v>
      </c>
      <c r="I8" s="14">
        <v>53891</v>
      </c>
      <c r="J8" s="14">
        <v>62699</v>
      </c>
      <c r="K8" s="3">
        <v>16.344101983633628</v>
      </c>
    </row>
    <row r="9" spans="1:11" s="4" customFormat="1" ht="15">
      <c r="A9" s="16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4">
        <v>91111</v>
      </c>
      <c r="G9" s="14">
        <v>104873</v>
      </c>
      <c r="H9" s="3">
        <v>15.10465256664947</v>
      </c>
      <c r="I9" s="14">
        <v>23169</v>
      </c>
      <c r="J9" s="14">
        <v>1395341</v>
      </c>
      <c r="K9" s="3">
        <v>5922.4480987526431</v>
      </c>
    </row>
    <row r="10" spans="1:11" s="4" customFormat="1" ht="15">
      <c r="A10" s="16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4">
        <v>65923</v>
      </c>
      <c r="G10" s="14">
        <v>93423</v>
      </c>
      <c r="H10" s="3">
        <v>41.715334556983144</v>
      </c>
      <c r="I10" s="14">
        <v>11090248</v>
      </c>
      <c r="J10" s="14">
        <v>18136576</v>
      </c>
      <c r="K10" s="3">
        <v>63.536252751065625</v>
      </c>
    </row>
    <row r="11" spans="1:11" s="4" customFormat="1" ht="15">
      <c r="A11" s="16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4">
        <v>45868</v>
      </c>
      <c r="G11" s="14">
        <v>64805</v>
      </c>
      <c r="H11" s="3">
        <v>41.285863783029562</v>
      </c>
      <c r="I11" s="14">
        <v>536969</v>
      </c>
      <c r="J11" s="14">
        <v>194761</v>
      </c>
      <c r="K11" s="3">
        <v>-63.729563531600519</v>
      </c>
    </row>
    <row r="12" spans="1:11" s="4" customFormat="1" ht="15">
      <c r="A12" s="16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4">
        <v>188315</v>
      </c>
      <c r="G12" s="14">
        <v>194105</v>
      </c>
      <c r="H12" s="3">
        <v>3.0746355839949024</v>
      </c>
      <c r="I12" s="14">
        <v>500901</v>
      </c>
      <c r="J12" s="14">
        <v>1858348</v>
      </c>
      <c r="K12" s="3">
        <v>271.00105609691337</v>
      </c>
    </row>
    <row r="13" spans="1:11" s="4" customFormat="1" ht="15">
      <c r="A13" s="17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4">
        <v>41861</v>
      </c>
      <c r="G13" s="14">
        <v>79793</v>
      </c>
      <c r="H13" s="3">
        <v>90.614175485535469</v>
      </c>
      <c r="I13" s="14">
        <v>504289</v>
      </c>
      <c r="J13" s="14">
        <v>655118</v>
      </c>
      <c r="K13" s="3">
        <v>29.909238551703488</v>
      </c>
    </row>
    <row r="14" spans="1:11" s="4" customFormat="1" ht="15">
      <c r="A14" s="16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4">
        <v>1083156</v>
      </c>
      <c r="G14" s="14">
        <v>1050200</v>
      </c>
      <c r="H14" s="3">
        <v>-3.0425903563290979</v>
      </c>
      <c r="I14" s="14">
        <v>19774194</v>
      </c>
      <c r="J14" s="14">
        <v>32170045</v>
      </c>
      <c r="K14" s="3">
        <v>62.687010150704502</v>
      </c>
    </row>
    <row r="15" spans="1:11" s="4" customFormat="1" ht="15">
      <c r="A15" s="16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4">
        <v>702734</v>
      </c>
      <c r="G15" s="14">
        <v>837130</v>
      </c>
      <c r="H15" s="3">
        <v>19.124732829207069</v>
      </c>
      <c r="I15" s="14">
        <v>2059087</v>
      </c>
      <c r="J15" s="14">
        <v>3091260</v>
      </c>
      <c r="K15" s="3">
        <v>50.127702229191875</v>
      </c>
    </row>
    <row r="16" spans="1:11" s="18" customFormat="1" ht="15">
      <c r="A16" s="16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4">
        <v>121071</v>
      </c>
      <c r="G16" s="14">
        <v>116713</v>
      </c>
      <c r="H16" s="3">
        <v>-3.5995407653360423</v>
      </c>
      <c r="I16" s="14">
        <v>396353</v>
      </c>
      <c r="J16" s="14">
        <v>207090</v>
      </c>
      <c r="K16" s="3">
        <v>-47.751120844297887</v>
      </c>
    </row>
    <row r="17" spans="1:11" s="4" customFormat="1" ht="15">
      <c r="A17" s="16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4">
        <v>125939</v>
      </c>
      <c r="G17" s="14">
        <v>182953</v>
      </c>
      <c r="H17" s="3">
        <v>45.27112332160808</v>
      </c>
      <c r="I17" s="14">
        <v>3602204</v>
      </c>
      <c r="J17" s="14">
        <v>1428370</v>
      </c>
      <c r="K17" s="3">
        <v>-60.347331800197878</v>
      </c>
    </row>
    <row r="18" spans="1:11" s="4" customFormat="1" ht="15">
      <c r="A18" s="16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4">
        <v>300053</v>
      </c>
      <c r="G18" s="14">
        <v>338639</v>
      </c>
      <c r="H18" s="3">
        <v>12.859728114699736</v>
      </c>
      <c r="I18" s="14">
        <v>10528275</v>
      </c>
      <c r="J18" s="14">
        <v>8341432</v>
      </c>
      <c r="K18" s="3">
        <v>-20.771142471107567</v>
      </c>
    </row>
    <row r="19" spans="1:11" s="4" customFormat="1" ht="15">
      <c r="A19" s="16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4">
        <v>503450</v>
      </c>
      <c r="G19" s="14">
        <v>561841</v>
      </c>
      <c r="H19" s="3">
        <v>11.598172608997913</v>
      </c>
      <c r="I19" s="14">
        <v>1770093</v>
      </c>
      <c r="J19" s="14">
        <v>3194113</v>
      </c>
      <c r="K19" s="3">
        <v>80.448880369562502</v>
      </c>
    </row>
    <row r="20" spans="1:11" s="4" customFormat="1" ht="15">
      <c r="A20" s="16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4">
        <v>216802</v>
      </c>
      <c r="G20" s="14">
        <v>219805</v>
      </c>
      <c r="H20" s="3">
        <v>1.3851348234794882</v>
      </c>
      <c r="I20" s="14">
        <v>1433642</v>
      </c>
      <c r="J20" s="14">
        <v>743110</v>
      </c>
      <c r="K20" s="3">
        <v>-48.166278610699187</v>
      </c>
    </row>
    <row r="21" spans="1:11" s="4" customFormat="1" ht="15">
      <c r="A21" s="16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4">
        <v>272247</v>
      </c>
      <c r="G21" s="14">
        <v>216651</v>
      </c>
      <c r="H21" s="3">
        <v>-20.421161665693287</v>
      </c>
      <c r="I21" s="14">
        <v>2665351</v>
      </c>
      <c r="J21" s="14">
        <v>1244686</v>
      </c>
      <c r="K21" s="3">
        <v>-53.301234996816547</v>
      </c>
    </row>
    <row r="22" spans="1:11" s="4" customFormat="1" ht="15">
      <c r="A22" s="16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4">
        <v>16058</v>
      </c>
      <c r="G22" s="14">
        <v>1622</v>
      </c>
      <c r="H22" s="3">
        <v>-89.899115705567326</v>
      </c>
      <c r="I22" s="14">
        <v>0</v>
      </c>
      <c r="J22" s="14">
        <v>0</v>
      </c>
      <c r="K22" s="3"/>
    </row>
    <row r="23" spans="1:11" s="4" customFormat="1" ht="15">
      <c r="A23" s="19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4">
        <v>1275550</v>
      </c>
      <c r="G23" s="14">
        <v>1428457</v>
      </c>
      <c r="H23" s="3">
        <v>11.987534788914585</v>
      </c>
      <c r="I23" s="14">
        <v>3668800</v>
      </c>
      <c r="J23" s="14">
        <v>4530335</v>
      </c>
      <c r="K23" s="3">
        <v>23.482746402093326</v>
      </c>
    </row>
    <row r="24" spans="1:11" s="4" customFormat="1" ht="15">
      <c r="A24" s="19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4">
        <v>200691</v>
      </c>
      <c r="G24" s="14">
        <v>247183</v>
      </c>
      <c r="H24" s="3">
        <v>23.165961602662797</v>
      </c>
      <c r="I24" s="14">
        <v>22097864</v>
      </c>
      <c r="J24" s="14">
        <v>6394352</v>
      </c>
      <c r="K24" s="3">
        <v>-71.063483782866982</v>
      </c>
    </row>
    <row r="25" spans="1:11" s="20" customFormat="1" ht="15">
      <c r="A25" s="19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4">
        <v>119797</v>
      </c>
      <c r="G25" s="14">
        <v>113211</v>
      </c>
      <c r="H25" s="3">
        <v>-5.4976334966651921</v>
      </c>
      <c r="I25" s="14">
        <v>240241</v>
      </c>
      <c r="J25" s="14">
        <v>420351</v>
      </c>
      <c r="K25" s="3">
        <v>74.970550405634341</v>
      </c>
    </row>
    <row r="26" spans="1:11" s="20" customFormat="1" ht="15">
      <c r="A26" s="19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4">
        <v>183318</v>
      </c>
      <c r="G26" s="14">
        <v>222740</v>
      </c>
      <c r="H26" s="3">
        <v>21.504707666459378</v>
      </c>
      <c r="I26" s="14">
        <v>94633</v>
      </c>
      <c r="J26" s="14">
        <v>116234</v>
      </c>
      <c r="K26" s="3">
        <v>22.826075470501834</v>
      </c>
    </row>
    <row r="27" spans="1:11" s="20" customFormat="1" ht="15">
      <c r="A27" s="21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2">
        <v>6325145</v>
      </c>
      <c r="G27" s="22">
        <v>6860602</v>
      </c>
      <c r="H27" s="7">
        <v>8.4655292487365905</v>
      </c>
      <c r="I27" s="22">
        <v>126661517</v>
      </c>
      <c r="J27" s="22">
        <v>125590537</v>
      </c>
      <c r="K27" s="7">
        <v>-0.84554490216629896</v>
      </c>
    </row>
    <row r="28" spans="1:11" s="20" customFormat="1" ht="15">
      <c r="A28" s="16">
        <v>24</v>
      </c>
      <c r="B28" s="6" t="s">
        <v>52</v>
      </c>
      <c r="C28" s="15">
        <v>124396.265353959</v>
      </c>
      <c r="D28" s="15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0" customFormat="1" ht="15">
      <c r="A29" s="21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2">
        <v>26456645</v>
      </c>
      <c r="G29" s="22">
        <v>28198778</v>
      </c>
      <c r="H29" s="7">
        <v>6.5848598716881908</v>
      </c>
      <c r="I29" s="22">
        <v>179835719</v>
      </c>
      <c r="J29" s="22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RowHeight="14.25"/>
  <cols>
    <col min="1" max="1" width="6.42578125" style="35" customWidth="1"/>
    <col min="2" max="2" width="33.7109375" style="35" customWidth="1"/>
    <col min="3" max="13" width="12.7109375" style="35" customWidth="1"/>
    <col min="14" max="14" width="12" style="35" bestFit="1" customWidth="1"/>
    <col min="15" max="16384" width="9.140625" style="35"/>
  </cols>
  <sheetData>
    <row r="1" spans="1:14" ht="15">
      <c r="A1" s="127" t="s">
        <v>27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14" ht="15">
      <c r="A2" s="36"/>
      <c r="B2" s="37"/>
      <c r="C2" s="37"/>
      <c r="D2" s="37"/>
      <c r="E2" s="37"/>
      <c r="F2" s="37"/>
      <c r="G2" s="37"/>
      <c r="H2" s="37"/>
      <c r="I2" s="37"/>
      <c r="J2" s="130" t="s">
        <v>26</v>
      </c>
      <c r="K2" s="130"/>
      <c r="L2" s="131"/>
      <c r="M2" s="131"/>
    </row>
    <row r="3" spans="1:14" ht="41.25" customHeight="1">
      <c r="A3" s="129" t="s">
        <v>2</v>
      </c>
      <c r="B3" s="129" t="s">
        <v>0</v>
      </c>
      <c r="C3" s="129" t="s">
        <v>15</v>
      </c>
      <c r="D3" s="129"/>
      <c r="E3" s="129"/>
      <c r="F3" s="129"/>
      <c r="G3" s="129"/>
      <c r="H3" s="38"/>
      <c r="I3" s="129" t="s">
        <v>8</v>
      </c>
      <c r="J3" s="129"/>
      <c r="K3" s="129"/>
      <c r="L3" s="129"/>
      <c r="M3" s="129"/>
      <c r="N3" s="39"/>
    </row>
    <row r="4" spans="1:14" ht="41.25" customHeight="1">
      <c r="A4" s="129"/>
      <c r="B4" s="129"/>
      <c r="C4" s="38" t="s">
        <v>43</v>
      </c>
      <c r="D4" s="38" t="s">
        <v>44</v>
      </c>
      <c r="E4" s="125" t="s">
        <v>45</v>
      </c>
      <c r="F4" s="38" t="s">
        <v>43</v>
      </c>
      <c r="G4" s="38" t="s">
        <v>44</v>
      </c>
      <c r="H4" s="125" t="s">
        <v>45</v>
      </c>
      <c r="I4" s="38" t="s">
        <v>43</v>
      </c>
      <c r="J4" s="38" t="s">
        <v>44</v>
      </c>
      <c r="K4" s="125" t="s">
        <v>45</v>
      </c>
      <c r="L4" s="38" t="s">
        <v>43</v>
      </c>
      <c r="M4" s="38" t="s">
        <v>44</v>
      </c>
      <c r="N4" s="125" t="s">
        <v>45</v>
      </c>
    </row>
    <row r="5" spans="1:14" s="41" customFormat="1" ht="39.75" customHeight="1">
      <c r="A5" s="129"/>
      <c r="B5" s="129"/>
      <c r="C5" s="40" t="s">
        <v>28</v>
      </c>
      <c r="D5" s="40" t="s">
        <v>28</v>
      </c>
      <c r="E5" s="126"/>
      <c r="F5" s="40" t="s">
        <v>29</v>
      </c>
      <c r="G5" s="40" t="s">
        <v>29</v>
      </c>
      <c r="H5" s="126"/>
      <c r="I5" s="40" t="s">
        <v>28</v>
      </c>
      <c r="J5" s="40" t="s">
        <v>28</v>
      </c>
      <c r="K5" s="126"/>
      <c r="L5" s="40" t="s">
        <v>29</v>
      </c>
      <c r="M5" s="40" t="s">
        <v>29</v>
      </c>
      <c r="N5" s="126"/>
    </row>
    <row r="6" spans="1:14" s="41" customFormat="1" ht="15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 ht="15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 ht="15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 ht="15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 ht="15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 ht="15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 ht="15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 ht="15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 ht="15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 ht="15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 ht="15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 ht="15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 ht="15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 ht="15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 ht="15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 ht="15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 ht="15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 ht="15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 ht="15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 ht="15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 ht="15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 ht="15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 ht="15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 ht="15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 ht="15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 ht="15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 ht="15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 ht="15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 ht="15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 ht="15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 ht="15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 ht="15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 ht="15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 ht="15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 ht="15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 ht="15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 ht="15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 ht="15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 ht="15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 ht="15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 ht="15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 ht="15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 ht="15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 ht="15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 ht="15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 ht="15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 ht="15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 ht="15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 ht="15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 ht="15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 ht="15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6"/>
  <sheetViews>
    <sheetView tabSelected="1" topLeftCell="V1" zoomScaleSheetLayoutView="70" workbookViewId="0">
      <selection activeCell="B1" sqref="B1:W1"/>
    </sheetView>
  </sheetViews>
  <sheetFormatPr defaultRowHeight="12.75"/>
  <cols>
    <col min="1" max="1" width="6.42578125" style="23" customWidth="1"/>
    <col min="2" max="2" width="30" style="23" customWidth="1"/>
    <col min="3" max="4" width="11.7109375" style="23" customWidth="1"/>
    <col min="5" max="5" width="12.7109375" style="23" customWidth="1"/>
    <col min="6" max="23" width="11.7109375" style="23" customWidth="1"/>
    <col min="24" max="25" width="14.7109375" style="23" customWidth="1"/>
    <col min="26" max="26" width="12.7109375" style="23" bestFit="1" customWidth="1"/>
    <col min="27" max="28" width="12.7109375" style="23" customWidth="1"/>
    <col min="29" max="30" width="11.7109375" style="23" customWidth="1"/>
    <col min="31" max="16384" width="9.140625" style="23"/>
  </cols>
  <sheetData>
    <row r="1" spans="1:30" ht="26.25" customHeight="1">
      <c r="A1" s="29"/>
      <c r="B1" s="135" t="s">
        <v>69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Y1" s="132" t="s">
        <v>56</v>
      </c>
      <c r="Z1" s="132"/>
      <c r="AA1" s="132"/>
      <c r="AB1" s="132"/>
      <c r="AC1" s="132"/>
      <c r="AD1" s="132"/>
    </row>
    <row r="2" spans="1:30" ht="41.25" customHeight="1">
      <c r="A2" s="133" t="s">
        <v>2</v>
      </c>
      <c r="B2" s="133" t="s">
        <v>0</v>
      </c>
      <c r="C2" s="133" t="s">
        <v>67</v>
      </c>
      <c r="D2" s="133"/>
      <c r="E2" s="133"/>
      <c r="F2" s="133"/>
      <c r="G2" s="133"/>
      <c r="H2" s="133"/>
      <c r="I2" s="133"/>
      <c r="J2" s="133" t="s">
        <v>8</v>
      </c>
      <c r="K2" s="133"/>
      <c r="L2" s="133"/>
      <c r="M2" s="133"/>
      <c r="N2" s="133"/>
      <c r="O2" s="133"/>
      <c r="P2" s="133"/>
      <c r="Q2" s="134" t="s">
        <v>9</v>
      </c>
      <c r="R2" s="134"/>
      <c r="S2" s="134"/>
      <c r="T2" s="134"/>
      <c r="U2" s="134"/>
      <c r="V2" s="134"/>
      <c r="W2" s="134"/>
      <c r="X2" s="134" t="s">
        <v>55</v>
      </c>
      <c r="Y2" s="134"/>
      <c r="Z2" s="134"/>
      <c r="AA2" s="134"/>
      <c r="AB2" s="134"/>
      <c r="AC2" s="134"/>
      <c r="AD2" s="134"/>
    </row>
    <row r="3" spans="1:30" s="24" customFormat="1" ht="39.75" customHeight="1">
      <c r="A3" s="133"/>
      <c r="B3" s="133"/>
      <c r="C3" s="105" t="s">
        <v>68</v>
      </c>
      <c r="D3" s="105" t="s">
        <v>63</v>
      </c>
      <c r="E3" s="104" t="s">
        <v>23</v>
      </c>
      <c r="F3" s="101" t="s">
        <v>64</v>
      </c>
      <c r="G3" s="101" t="s">
        <v>65</v>
      </c>
      <c r="H3" s="104" t="s">
        <v>23</v>
      </c>
      <c r="I3" s="104" t="s">
        <v>54</v>
      </c>
      <c r="J3" s="105" t="s">
        <v>62</v>
      </c>
      <c r="K3" s="105" t="s">
        <v>63</v>
      </c>
      <c r="L3" s="104" t="s">
        <v>23</v>
      </c>
      <c r="M3" s="101" t="s">
        <v>64</v>
      </c>
      <c r="N3" s="101" t="s">
        <v>65</v>
      </c>
      <c r="O3" s="104" t="s">
        <v>23</v>
      </c>
      <c r="P3" s="104" t="s">
        <v>54</v>
      </c>
      <c r="Q3" s="105" t="s">
        <v>62</v>
      </c>
      <c r="R3" s="105" t="s">
        <v>63</v>
      </c>
      <c r="S3" s="104" t="s">
        <v>23</v>
      </c>
      <c r="T3" s="101" t="s">
        <v>64</v>
      </c>
      <c r="U3" s="101" t="s">
        <v>65</v>
      </c>
      <c r="V3" s="104" t="s">
        <v>23</v>
      </c>
      <c r="W3" s="104" t="s">
        <v>54</v>
      </c>
      <c r="X3" s="105" t="s">
        <v>62</v>
      </c>
      <c r="Y3" s="105" t="s">
        <v>63</v>
      </c>
      <c r="Z3" s="104" t="s">
        <v>23</v>
      </c>
      <c r="AA3" s="101" t="s">
        <v>64</v>
      </c>
      <c r="AB3" s="101" t="s">
        <v>65</v>
      </c>
      <c r="AC3" s="104" t="s">
        <v>23</v>
      </c>
      <c r="AD3" s="104" t="s">
        <v>54</v>
      </c>
    </row>
    <row r="4" spans="1:30" s="24" customFormat="1" ht="15">
      <c r="A4" s="16">
        <v>1</v>
      </c>
      <c r="B4" s="6" t="s">
        <v>46</v>
      </c>
      <c r="C4" s="12">
        <f>C5+C6+C7+C8+C9</f>
        <v>388.31864284616574</v>
      </c>
      <c r="D4" s="12">
        <f>D5+D6+D7+D8+D9</f>
        <v>1061.3018984081552</v>
      </c>
      <c r="E4" s="110">
        <f t="shared" ref="E4:E9" si="0">((D4-C4)/C4)*100</f>
        <v>173.30696528742118</v>
      </c>
      <c r="F4" s="12">
        <f>F5+F6+F7+F8+F9</f>
        <v>2000.4433633255751</v>
      </c>
      <c r="G4" s="12">
        <f>G5+G6+G7+G8+G9</f>
        <v>2323.7658155011854</v>
      </c>
      <c r="H4" s="110">
        <f t="shared" ref="H4:H9" si="1">((G4-F4)/F4)*100</f>
        <v>16.162539670111578</v>
      </c>
      <c r="I4" s="111">
        <f>(G4/G$179)*100</f>
        <v>1.7606701970119591</v>
      </c>
      <c r="J4" s="22">
        <f>J5+J6+J7+J8+J9</f>
        <v>22043</v>
      </c>
      <c r="K4" s="22">
        <f>K5+K6+K7+K8+K9</f>
        <v>19982</v>
      </c>
      <c r="L4" s="110">
        <f t="shared" ref="L4:L9" si="2">((K4-J4)/J4)*100</f>
        <v>-9.3499069999546336</v>
      </c>
      <c r="M4" s="22">
        <f>M5+M6+M7+M8+M9</f>
        <v>114424</v>
      </c>
      <c r="N4" s="22">
        <f>N5+N6+N7+N8+N9</f>
        <v>96616</v>
      </c>
      <c r="O4" s="110">
        <f t="shared" ref="O4:O9" si="3">((N4-M4)/M4)*100</f>
        <v>-15.563168566035099</v>
      </c>
      <c r="P4" s="111">
        <f>(N4/N$179)*100</f>
        <v>0.92933527557249496</v>
      </c>
      <c r="Q4" s="22">
        <f>Q5+Q6+Q7+Q8+Q9</f>
        <v>98642</v>
      </c>
      <c r="R4" s="22">
        <f>R5+R6+R7+R8+R9</f>
        <v>301634</v>
      </c>
      <c r="S4" s="110">
        <f t="shared" ref="S4:S9" si="4">((R4-Q4)/Q4)*100</f>
        <v>205.78658178058026</v>
      </c>
      <c r="T4" s="22">
        <f>T5+T6+T7+T8+T9</f>
        <v>639165</v>
      </c>
      <c r="U4" s="22">
        <f>U5+U6+U7+U8+U9</f>
        <v>881114</v>
      </c>
      <c r="V4" s="110">
        <f t="shared" ref="V4:V9" si="5">((U4-T4)/T4)*100</f>
        <v>37.853918784664366</v>
      </c>
      <c r="W4" s="111">
        <f>(U4/U$179)*100</f>
        <v>1.1098278156772938</v>
      </c>
      <c r="X4" s="12">
        <f>X5+X6+X7+X8+X9</f>
        <v>14803.033814293998</v>
      </c>
      <c r="Y4" s="12">
        <f>Y5+Y6+Y7+Y8+Y9</f>
        <v>22967.754079990998</v>
      </c>
      <c r="Z4" s="110">
        <f t="shared" ref="Z4:Z9" si="6">((Y4-X4)/X4)*100</f>
        <v>55.155722591223444</v>
      </c>
      <c r="AA4" s="12">
        <f>AA5+AA6+AA7+AA8+AA9</f>
        <v>109086.95441199899</v>
      </c>
      <c r="AB4" s="12">
        <f>AB5+AB6+AB7+AB8+AB9</f>
        <v>89941.766051154991</v>
      </c>
      <c r="AC4" s="110">
        <f t="shared" ref="AC4:AC9" si="7">((AB4-AA4)/AA4)*100</f>
        <v>-17.550392220628471</v>
      </c>
      <c r="AD4" s="111">
        <f>(AB4/AB$179)*100</f>
        <v>3.5266450456273279</v>
      </c>
    </row>
    <row r="5" spans="1:30">
      <c r="A5" s="5"/>
      <c r="B5" s="8" t="s">
        <v>3</v>
      </c>
      <c r="C5" s="112">
        <v>10.696160835000009</v>
      </c>
      <c r="D5" s="113">
        <v>25.692300086943696</v>
      </c>
      <c r="E5" s="114">
        <f t="shared" si="0"/>
        <v>140.20113836427436</v>
      </c>
      <c r="F5" s="112">
        <v>53.110036590000007</v>
      </c>
      <c r="G5" s="113">
        <v>112.9657989522794</v>
      </c>
      <c r="H5" s="114">
        <f t="shared" si="1"/>
        <v>112.70141428136301</v>
      </c>
      <c r="I5" s="115">
        <f>(G5/G$180)*100</f>
        <v>0.64994439053745268</v>
      </c>
      <c r="J5" s="116">
        <v>184</v>
      </c>
      <c r="K5" s="116">
        <v>253</v>
      </c>
      <c r="L5" s="114">
        <f t="shared" si="2"/>
        <v>37.5</v>
      </c>
      <c r="M5" s="116">
        <v>914</v>
      </c>
      <c r="N5" s="116">
        <v>1069</v>
      </c>
      <c r="O5" s="114">
        <f t="shared" si="3"/>
        <v>16.958424507658641</v>
      </c>
      <c r="P5" s="115">
        <f>(N5/N$180)*100</f>
        <v>0.21071180774567935</v>
      </c>
      <c r="Q5" s="116">
        <v>0</v>
      </c>
      <c r="R5" s="116">
        <v>0</v>
      </c>
      <c r="S5" s="106" t="s">
        <v>57</v>
      </c>
      <c r="T5" s="116">
        <v>0</v>
      </c>
      <c r="U5" s="116">
        <v>0</v>
      </c>
      <c r="V5" s="106" t="s">
        <v>57</v>
      </c>
      <c r="W5" s="106" t="s">
        <v>57</v>
      </c>
      <c r="X5" s="112">
        <v>13.195041982000109</v>
      </c>
      <c r="Y5" s="112">
        <v>29.12993153</v>
      </c>
      <c r="Z5" s="114">
        <f t="shared" si="6"/>
        <v>120.76422014979049</v>
      </c>
      <c r="AA5" s="112">
        <v>81.301552913000123</v>
      </c>
      <c r="AB5" s="112">
        <v>114.03699217099997</v>
      </c>
      <c r="AC5" s="114">
        <f t="shared" si="7"/>
        <v>40.264223849487436</v>
      </c>
      <c r="AD5" s="115">
        <f>(AB5/AB$180)*100</f>
        <v>0.61533133765477366</v>
      </c>
    </row>
    <row r="6" spans="1:30">
      <c r="A6" s="5"/>
      <c r="B6" s="8" t="s">
        <v>4</v>
      </c>
      <c r="C6" s="112">
        <v>166.29760291416576</v>
      </c>
      <c r="D6" s="113">
        <v>216.14095319220709</v>
      </c>
      <c r="E6" s="114">
        <f t="shared" si="0"/>
        <v>29.972380482097442</v>
      </c>
      <c r="F6" s="112">
        <v>738.6201595325756</v>
      </c>
      <c r="G6" s="113">
        <v>867.35698391190147</v>
      </c>
      <c r="H6" s="114">
        <f t="shared" si="1"/>
        <v>17.429367817525449</v>
      </c>
      <c r="I6" s="115">
        <f>(G6/G$181)*100</f>
        <v>2.6928689495527571</v>
      </c>
      <c r="J6" s="116">
        <v>21810</v>
      </c>
      <c r="K6" s="116">
        <v>19711</v>
      </c>
      <c r="L6" s="114">
        <f t="shared" si="2"/>
        <v>-9.6240256762952789</v>
      </c>
      <c r="M6" s="116">
        <v>113201</v>
      </c>
      <c r="N6" s="116">
        <v>95458</v>
      </c>
      <c r="O6" s="114">
        <f t="shared" si="3"/>
        <v>-15.67388980662715</v>
      </c>
      <c r="P6" s="115">
        <f>(N6/N$181)*100</f>
        <v>0.96677764012999212</v>
      </c>
      <c r="Q6" s="116">
        <v>0</v>
      </c>
      <c r="R6" s="116">
        <v>0</v>
      </c>
      <c r="S6" s="106" t="s">
        <v>57</v>
      </c>
      <c r="T6" s="116">
        <v>0</v>
      </c>
      <c r="U6" s="116">
        <v>0</v>
      </c>
      <c r="V6" s="106" t="s">
        <v>57</v>
      </c>
      <c r="W6" s="106" t="s">
        <v>57</v>
      </c>
      <c r="X6" s="112">
        <v>3662.192869769</v>
      </c>
      <c r="Y6" s="112">
        <v>4648.8971079820003</v>
      </c>
      <c r="Z6" s="114">
        <f t="shared" si="6"/>
        <v>26.942989441056898</v>
      </c>
      <c r="AA6" s="112">
        <v>20007.047426824996</v>
      </c>
      <c r="AB6" s="112">
        <v>22378.294612398</v>
      </c>
      <c r="AC6" s="114">
        <f t="shared" si="7"/>
        <v>11.852059601726586</v>
      </c>
      <c r="AD6" s="115">
        <f>(AB6/AB$181)*100</f>
        <v>2.7523385250407943</v>
      </c>
    </row>
    <row r="7" spans="1:30">
      <c r="A7" s="5"/>
      <c r="B7" s="8" t="s">
        <v>5</v>
      </c>
      <c r="C7" s="112">
        <v>206.09221229099995</v>
      </c>
      <c r="D7" s="113">
        <v>769.34241311799997</v>
      </c>
      <c r="E7" s="114">
        <f t="shared" si="0"/>
        <v>273.30008958887635</v>
      </c>
      <c r="F7" s="112">
        <v>1154.0470367019996</v>
      </c>
      <c r="G7" s="113">
        <v>1270.9124468119999</v>
      </c>
      <c r="H7" s="114">
        <f t="shared" si="1"/>
        <v>10.12657252203296</v>
      </c>
      <c r="I7" s="115">
        <f>(G7/G$182)*100</f>
        <v>1.6384859526324742</v>
      </c>
      <c r="J7" s="116">
        <v>6</v>
      </c>
      <c r="K7" s="116">
        <v>8</v>
      </c>
      <c r="L7" s="114">
        <f t="shared" si="2"/>
        <v>33.333333333333329</v>
      </c>
      <c r="M7" s="116">
        <v>27</v>
      </c>
      <c r="N7" s="116">
        <v>35</v>
      </c>
      <c r="O7" s="114">
        <f t="shared" si="3"/>
        <v>29.629629629629626</v>
      </c>
      <c r="P7" s="115">
        <f>(N7/N$182)*100</f>
        <v>5.972696245733788</v>
      </c>
      <c r="Q7" s="116">
        <v>50432</v>
      </c>
      <c r="R7" s="116">
        <v>178571</v>
      </c>
      <c r="S7" s="114">
        <f t="shared" si="4"/>
        <v>254.0827252538071</v>
      </c>
      <c r="T7" s="116">
        <v>224385</v>
      </c>
      <c r="U7" s="116">
        <v>484646</v>
      </c>
      <c r="V7" s="114">
        <f t="shared" si="5"/>
        <v>115.98859103772534</v>
      </c>
      <c r="W7" s="115">
        <f>(U7/U$182)*100</f>
        <v>1.059967676897577</v>
      </c>
      <c r="X7" s="112">
        <v>749.08661877999998</v>
      </c>
      <c r="Y7" s="112">
        <v>1500.5930983999997</v>
      </c>
      <c r="Z7" s="114">
        <f t="shared" si="6"/>
        <v>100.32304152541676</v>
      </c>
      <c r="AA7" s="112">
        <v>2702.5281328799992</v>
      </c>
      <c r="AB7" s="112">
        <v>5950.7038940600005</v>
      </c>
      <c r="AC7" s="114">
        <f t="shared" si="7"/>
        <v>120.19026635325059</v>
      </c>
      <c r="AD7" s="115">
        <f>(AB7/AB$182)*100</f>
        <v>1.0710187243140303</v>
      </c>
    </row>
    <row r="8" spans="1:30">
      <c r="A8" s="5"/>
      <c r="B8" s="8" t="s">
        <v>6</v>
      </c>
      <c r="C8" s="112">
        <v>1.0042320899999992</v>
      </c>
      <c r="D8" s="113">
        <v>2.2804756769999996</v>
      </c>
      <c r="E8" s="114">
        <f t="shared" si="0"/>
        <v>127.08651712175434</v>
      </c>
      <c r="F8" s="112">
        <v>9.6321161269999962</v>
      </c>
      <c r="G8" s="113">
        <v>3.4440100669999998</v>
      </c>
      <c r="H8" s="114">
        <f t="shared" si="1"/>
        <v>-64.244512611865019</v>
      </c>
      <c r="I8" s="115">
        <f>(G8/G$183)*100</f>
        <v>0.36902407231508344</v>
      </c>
      <c r="J8" s="116">
        <v>0</v>
      </c>
      <c r="K8" s="116">
        <v>1</v>
      </c>
      <c r="L8" s="106" t="s">
        <v>57</v>
      </c>
      <c r="M8" s="116">
        <v>1</v>
      </c>
      <c r="N8" s="116">
        <v>2</v>
      </c>
      <c r="O8" s="114">
        <f t="shared" si="3"/>
        <v>100</v>
      </c>
      <c r="P8" s="115">
        <f>(N8/N$183)*100</f>
        <v>5.8719906048150319E-2</v>
      </c>
      <c r="Q8" s="116">
        <v>0</v>
      </c>
      <c r="R8" s="116">
        <v>47</v>
      </c>
      <c r="S8" s="106" t="s">
        <v>57</v>
      </c>
      <c r="T8" s="116">
        <v>108</v>
      </c>
      <c r="U8" s="116">
        <v>60</v>
      </c>
      <c r="V8" s="114">
        <f t="shared" si="5"/>
        <v>-44.444444444444443</v>
      </c>
      <c r="W8" s="115">
        <f>(U8/U$183)*100</f>
        <v>2.9745925180074393E-3</v>
      </c>
      <c r="X8" s="112">
        <v>0</v>
      </c>
      <c r="Y8" s="112">
        <v>0</v>
      </c>
      <c r="Z8" s="106" t="s">
        <v>57</v>
      </c>
      <c r="AA8" s="112">
        <v>0</v>
      </c>
      <c r="AB8" s="112">
        <v>0</v>
      </c>
      <c r="AC8" s="106" t="s">
        <v>57</v>
      </c>
      <c r="AD8" s="115">
        <f>(AB8/AB$183)*100</f>
        <v>0</v>
      </c>
    </row>
    <row r="9" spans="1:30">
      <c r="A9" s="5"/>
      <c r="B9" s="25" t="s">
        <v>25</v>
      </c>
      <c r="C9" s="112">
        <v>4.228434716000006</v>
      </c>
      <c r="D9" s="113">
        <v>47.845756334004406</v>
      </c>
      <c r="E9" s="114">
        <f t="shared" si="0"/>
        <v>1031.5240638092505</v>
      </c>
      <c r="F9" s="112">
        <v>45.034014374000009</v>
      </c>
      <c r="G9" s="113">
        <v>69.086575758004443</v>
      </c>
      <c r="H9" s="114">
        <f t="shared" si="1"/>
        <v>53.409765303736656</v>
      </c>
      <c r="I9" s="115">
        <f>(G9/G$184)*100</f>
        <v>1.7750451764690569</v>
      </c>
      <c r="J9" s="116">
        <v>43</v>
      </c>
      <c r="K9" s="116">
        <v>9</v>
      </c>
      <c r="L9" s="114">
        <f t="shared" si="2"/>
        <v>-79.069767441860463</v>
      </c>
      <c r="M9" s="116">
        <v>281</v>
      </c>
      <c r="N9" s="116">
        <v>52</v>
      </c>
      <c r="O9" s="114">
        <f t="shared" si="3"/>
        <v>-81.494661921708186</v>
      </c>
      <c r="P9" s="115">
        <f>(N9/N$184)*100</f>
        <v>0.4686373467916366</v>
      </c>
      <c r="Q9" s="116">
        <v>48210</v>
      </c>
      <c r="R9" s="116">
        <v>123016</v>
      </c>
      <c r="S9" s="114">
        <f t="shared" si="4"/>
        <v>155.16697780543456</v>
      </c>
      <c r="T9" s="116">
        <v>414672</v>
      </c>
      <c r="U9" s="116">
        <v>396408</v>
      </c>
      <c r="V9" s="114">
        <f t="shared" si="5"/>
        <v>-4.4044449589072814</v>
      </c>
      <c r="W9" s="115">
        <f>(U9/U$184)*100</f>
        <v>1.2523885812900524</v>
      </c>
      <c r="X9" s="112">
        <v>10378.559283762997</v>
      </c>
      <c r="Y9" s="112">
        <v>16789.133942078999</v>
      </c>
      <c r="Z9" s="114">
        <f t="shared" si="6"/>
        <v>61.767481237450653</v>
      </c>
      <c r="AA9" s="112">
        <v>86296.077299380995</v>
      </c>
      <c r="AB9" s="112">
        <v>61498.730552525994</v>
      </c>
      <c r="AC9" s="114">
        <f t="shared" si="7"/>
        <v>-28.735195761943249</v>
      </c>
      <c r="AD9" s="115">
        <f>(AB9/AB$184)*100</f>
        <v>6.0421510770491951</v>
      </c>
    </row>
    <row r="10" spans="1:30">
      <c r="A10" s="5"/>
      <c r="B10" s="25"/>
      <c r="C10" s="112"/>
      <c r="D10" s="113"/>
      <c r="E10" s="114"/>
      <c r="F10" s="112"/>
      <c r="G10" s="113"/>
      <c r="H10" s="114"/>
      <c r="I10" s="115"/>
      <c r="J10" s="116"/>
      <c r="K10" s="116"/>
      <c r="L10" s="114"/>
      <c r="M10" s="116"/>
      <c r="N10" s="116"/>
      <c r="O10" s="114"/>
      <c r="P10" s="115"/>
      <c r="Q10" s="116"/>
      <c r="R10" s="116"/>
      <c r="S10" s="114"/>
      <c r="T10" s="116"/>
      <c r="U10" s="116"/>
      <c r="V10" s="114"/>
      <c r="W10" s="115"/>
      <c r="X10" s="112"/>
      <c r="Y10" s="112"/>
      <c r="Z10" s="114"/>
      <c r="AA10" s="112"/>
      <c r="AB10" s="112"/>
      <c r="AC10" s="114"/>
      <c r="AD10" s="115"/>
    </row>
    <row r="11" spans="1:30" s="24" customFormat="1" ht="15">
      <c r="A11" s="16">
        <v>2</v>
      </c>
      <c r="B11" s="6" t="s">
        <v>22</v>
      </c>
      <c r="C11" s="12">
        <f>C12+C13+C14+C15+C16</f>
        <v>5.2694594070000011</v>
      </c>
      <c r="D11" s="12">
        <f>D12+D13+D14+D15+D16</f>
        <v>0.90037879799999976</v>
      </c>
      <c r="E11" s="110">
        <f t="shared" ref="E11:E16" si="8">((D11-C11)/C11)*100</f>
        <v>-82.913260574625014</v>
      </c>
      <c r="F11" s="12">
        <f>F12+F13+F14+F15+F16</f>
        <v>29.602481220999994</v>
      </c>
      <c r="G11" s="12">
        <f>G12+G13+G14+G15+G16</f>
        <v>12.526831422000001</v>
      </c>
      <c r="H11" s="110">
        <f t="shared" ref="H11:H16" si="9">((G11-F11)/F11)*100</f>
        <v>-57.683170783962964</v>
      </c>
      <c r="I11" s="111">
        <f>(G11/G$179)*100</f>
        <v>9.4913259333541874E-3</v>
      </c>
      <c r="J11" s="22">
        <f>J12+J13+J14+J15+J16</f>
        <v>1691</v>
      </c>
      <c r="K11" s="22">
        <f>K12+K13+K14+K15+K16</f>
        <v>393</v>
      </c>
      <c r="L11" s="110">
        <f t="shared" ref="L11:L16" si="10">((K11-J11)/J11)*100</f>
        <v>-76.759314015375509</v>
      </c>
      <c r="M11" s="22">
        <f>M12+M13+M14+M15+M16</f>
        <v>8753</v>
      </c>
      <c r="N11" s="22">
        <f>N12+N13+N14+N15+N16</f>
        <v>5657</v>
      </c>
      <c r="O11" s="110">
        <f t="shared" ref="O11:O16" si="11">((N11-M11)/M11)*100</f>
        <v>-35.370730035416429</v>
      </c>
      <c r="P11" s="111">
        <f>(N11/N$179)*100</f>
        <v>5.4413861616229242E-2</v>
      </c>
      <c r="Q11" s="22">
        <f>Q12+Q13+Q14+Q15+Q16</f>
        <v>5364</v>
      </c>
      <c r="R11" s="22">
        <f>R12+R13+R14+R15+R16</f>
        <v>2639</v>
      </c>
      <c r="S11" s="110">
        <f t="shared" ref="S11:S16" si="12">((R11-Q11)/Q11)*100</f>
        <v>-50.801640566741234</v>
      </c>
      <c r="T11" s="22">
        <f>T12+T13+T14+T15+T16</f>
        <v>60579</v>
      </c>
      <c r="U11" s="22">
        <f>U12+U13+U14+U15+U16</f>
        <v>41671</v>
      </c>
      <c r="V11" s="110">
        <f t="shared" ref="V11:V16" si="13">((U11-T11)/T11)*100</f>
        <v>-31.212136218821705</v>
      </c>
      <c r="W11" s="111">
        <f>(U11/U$179)*100</f>
        <v>5.2487685937447945E-2</v>
      </c>
      <c r="X11" s="12">
        <f>X12+X13+X14+X15+X16</f>
        <v>1945.9277685000002</v>
      </c>
      <c r="Y11" s="12">
        <f>Y12+Y13+Y14+Y15+Y16</f>
        <v>798.24359570000001</v>
      </c>
      <c r="Z11" s="110">
        <f t="shared" ref="Z11:Z16" si="14">((Y11-X11)/X11)*100</f>
        <v>-58.978765367261374</v>
      </c>
      <c r="AA11" s="12">
        <f>AA12+AA13+AA14+AA15+AA16</f>
        <v>16564.2262544</v>
      </c>
      <c r="AB11" s="12">
        <f>AB12+AB13+AB14+AB15+AB16</f>
        <v>18534.766975613999</v>
      </c>
      <c r="AC11" s="110">
        <f t="shared" ref="AC11:AC16" si="15">((AB11-AA11)/AA11)*100</f>
        <v>11.896364435921406</v>
      </c>
      <c r="AD11" s="111">
        <f>(AB11/AB$179)*100</f>
        <v>0.72675406539414644</v>
      </c>
    </row>
    <row r="12" spans="1:30">
      <c r="A12" s="5"/>
      <c r="B12" s="8" t="s">
        <v>3</v>
      </c>
      <c r="C12" s="15">
        <v>9.2936499999999991E-2</v>
      </c>
      <c r="D12" s="11">
        <v>1.1000000000000001E-2</v>
      </c>
      <c r="E12" s="114">
        <f t="shared" si="8"/>
        <v>-88.163961414514219</v>
      </c>
      <c r="F12" s="15">
        <v>0.31407282600000003</v>
      </c>
      <c r="G12" s="11">
        <v>0.10781179999999999</v>
      </c>
      <c r="H12" s="114">
        <f t="shared" si="9"/>
        <v>-65.672993307609488</v>
      </c>
      <c r="I12" s="115">
        <f>(G12/G$180)*100</f>
        <v>6.2029105528963152E-4</v>
      </c>
      <c r="J12" s="103">
        <v>3</v>
      </c>
      <c r="K12" s="103">
        <v>0</v>
      </c>
      <c r="L12" s="114">
        <f t="shared" si="10"/>
        <v>-100</v>
      </c>
      <c r="M12" s="103">
        <v>15</v>
      </c>
      <c r="N12" s="103">
        <v>506</v>
      </c>
      <c r="O12" s="114">
        <f t="shared" si="11"/>
        <v>3273.3333333333335</v>
      </c>
      <c r="P12" s="115">
        <f>(N12/N$180)*100</f>
        <v>9.9738236407215852E-2</v>
      </c>
      <c r="Q12" s="103">
        <v>0</v>
      </c>
      <c r="R12" s="103">
        <v>0</v>
      </c>
      <c r="S12" s="106" t="s">
        <v>57</v>
      </c>
      <c r="T12" s="103">
        <v>0</v>
      </c>
      <c r="U12" s="103">
        <v>0</v>
      </c>
      <c r="V12" s="106" t="s">
        <v>57</v>
      </c>
      <c r="W12" s="106" t="s">
        <v>57</v>
      </c>
      <c r="X12" s="15">
        <v>4.75</v>
      </c>
      <c r="Y12" s="15">
        <v>0</v>
      </c>
      <c r="Z12" s="114">
        <f t="shared" si="14"/>
        <v>-100</v>
      </c>
      <c r="AA12" s="15">
        <v>11.1</v>
      </c>
      <c r="AB12" s="15">
        <v>4.6135199999999994</v>
      </c>
      <c r="AC12" s="114">
        <f t="shared" si="15"/>
        <v>-58.436756756756758</v>
      </c>
      <c r="AD12" s="115">
        <f>(AB12/AB$180)*100</f>
        <v>2.4894057435679889E-2</v>
      </c>
    </row>
    <row r="13" spans="1:30">
      <c r="A13" s="5"/>
      <c r="B13" s="8" t="s">
        <v>4</v>
      </c>
      <c r="C13" s="15">
        <v>4.4929632190000008</v>
      </c>
      <c r="D13" s="11">
        <v>0.71918172100000011</v>
      </c>
      <c r="E13" s="114">
        <f t="shared" si="8"/>
        <v>-83.993153606094552</v>
      </c>
      <c r="F13" s="15">
        <v>21.457826459999996</v>
      </c>
      <c r="G13" s="11">
        <v>7.2479748239999999</v>
      </c>
      <c r="H13" s="114">
        <f t="shared" si="9"/>
        <v>-66.222232072241297</v>
      </c>
      <c r="I13" s="115">
        <f>(G13/G$181)*100</f>
        <v>2.250266812017987E-2</v>
      </c>
      <c r="J13" s="103">
        <v>1677</v>
      </c>
      <c r="K13" s="103">
        <v>393</v>
      </c>
      <c r="L13" s="114">
        <f t="shared" si="10"/>
        <v>-76.565295169946339</v>
      </c>
      <c r="M13" s="103">
        <v>8696</v>
      </c>
      <c r="N13" s="103">
        <v>5134</v>
      </c>
      <c r="O13" s="114">
        <f t="shared" si="11"/>
        <v>-40.961361545538175</v>
      </c>
      <c r="P13" s="115">
        <f>(N13/N$181)*100</f>
        <v>5.1996023428391332E-2</v>
      </c>
      <c r="Q13" s="103">
        <v>0</v>
      </c>
      <c r="R13" s="103">
        <v>0</v>
      </c>
      <c r="S13" s="106" t="s">
        <v>57</v>
      </c>
      <c r="T13" s="103">
        <v>0</v>
      </c>
      <c r="U13" s="103">
        <v>0</v>
      </c>
      <c r="V13" s="106" t="s">
        <v>57</v>
      </c>
      <c r="W13" s="106" t="s">
        <v>57</v>
      </c>
      <c r="X13" s="15">
        <v>1035.7569463000002</v>
      </c>
      <c r="Y13" s="15">
        <v>246.0745728</v>
      </c>
      <c r="Z13" s="114">
        <f t="shared" si="14"/>
        <v>-76.242054308296574</v>
      </c>
      <c r="AA13" s="15">
        <v>5871.4028888000003</v>
      </c>
      <c r="AB13" s="15">
        <v>4859.2989520000001</v>
      </c>
      <c r="AC13" s="114">
        <f t="shared" si="15"/>
        <v>-17.237855346813959</v>
      </c>
      <c r="AD13" s="115">
        <f>(AB13/AB$181)*100</f>
        <v>0.59765214203902151</v>
      </c>
    </row>
    <row r="14" spans="1:30">
      <c r="A14" s="5"/>
      <c r="B14" s="8" t="s">
        <v>5</v>
      </c>
      <c r="C14" s="15">
        <v>0</v>
      </c>
      <c r="D14" s="11">
        <v>0</v>
      </c>
      <c r="E14" s="106" t="s">
        <v>57</v>
      </c>
      <c r="F14" s="15">
        <v>0</v>
      </c>
      <c r="G14" s="11">
        <v>0</v>
      </c>
      <c r="H14" s="106" t="s">
        <v>57</v>
      </c>
      <c r="I14" s="115">
        <f>(G14/G$182)*100</f>
        <v>0</v>
      </c>
      <c r="J14" s="103">
        <v>0</v>
      </c>
      <c r="K14" s="103">
        <v>0</v>
      </c>
      <c r="L14" s="106" t="s">
        <v>57</v>
      </c>
      <c r="M14" s="103">
        <v>0</v>
      </c>
      <c r="N14" s="103">
        <v>0</v>
      </c>
      <c r="O14" s="106" t="s">
        <v>57</v>
      </c>
      <c r="P14" s="115">
        <f>(N14/N$182)*100</f>
        <v>0</v>
      </c>
      <c r="Q14" s="103">
        <v>0</v>
      </c>
      <c r="R14" s="103">
        <v>0</v>
      </c>
      <c r="S14" s="106" t="s">
        <v>57</v>
      </c>
      <c r="T14" s="103">
        <v>0</v>
      </c>
      <c r="U14" s="103">
        <v>0</v>
      </c>
      <c r="V14" s="106" t="s">
        <v>57</v>
      </c>
      <c r="W14" s="115">
        <f>(U14/U$182)*100</f>
        <v>0</v>
      </c>
      <c r="X14" s="15">
        <v>0</v>
      </c>
      <c r="Y14" s="15">
        <v>0</v>
      </c>
      <c r="Z14" s="106" t="s">
        <v>57</v>
      </c>
      <c r="AA14" s="15">
        <v>0</v>
      </c>
      <c r="AB14" s="15">
        <v>0</v>
      </c>
      <c r="AC14" s="106" t="s">
        <v>57</v>
      </c>
      <c r="AD14" s="115">
        <f>(AB14/AB$182)*100</f>
        <v>0</v>
      </c>
    </row>
    <row r="15" spans="1:30">
      <c r="A15" s="5"/>
      <c r="B15" s="8" t="s">
        <v>6</v>
      </c>
      <c r="C15" s="15">
        <v>0</v>
      </c>
      <c r="D15" s="11">
        <v>0</v>
      </c>
      <c r="E15" s="106" t="s">
        <v>57</v>
      </c>
      <c r="F15" s="15">
        <v>0</v>
      </c>
      <c r="G15" s="11">
        <v>0</v>
      </c>
      <c r="H15" s="106" t="s">
        <v>57</v>
      </c>
      <c r="I15" s="115">
        <f>(G15/G$183)*100</f>
        <v>0</v>
      </c>
      <c r="J15" s="103">
        <v>0</v>
      </c>
      <c r="K15" s="103">
        <v>0</v>
      </c>
      <c r="L15" s="106" t="s">
        <v>57</v>
      </c>
      <c r="M15" s="103">
        <v>0</v>
      </c>
      <c r="N15" s="103">
        <v>0</v>
      </c>
      <c r="O15" s="106" t="s">
        <v>57</v>
      </c>
      <c r="P15" s="115">
        <f>(N15/N$183)*100</f>
        <v>0</v>
      </c>
      <c r="Q15" s="103">
        <v>0</v>
      </c>
      <c r="R15" s="103">
        <v>0</v>
      </c>
      <c r="S15" s="106" t="s">
        <v>57</v>
      </c>
      <c r="T15" s="103">
        <v>0</v>
      </c>
      <c r="U15" s="103">
        <v>0</v>
      </c>
      <c r="V15" s="106" t="s">
        <v>57</v>
      </c>
      <c r="W15" s="115">
        <f>(U15/U$183)*100</f>
        <v>0</v>
      </c>
      <c r="X15" s="15">
        <v>0</v>
      </c>
      <c r="Y15" s="15">
        <v>0</v>
      </c>
      <c r="Z15" s="106" t="s">
        <v>57</v>
      </c>
      <c r="AA15" s="15">
        <v>0</v>
      </c>
      <c r="AB15" s="15">
        <v>0</v>
      </c>
      <c r="AC15" s="106" t="s">
        <v>57</v>
      </c>
      <c r="AD15" s="115">
        <f>(AB15/AB$183)*100</f>
        <v>0</v>
      </c>
    </row>
    <row r="16" spans="1:30">
      <c r="A16" s="5"/>
      <c r="B16" s="25" t="s">
        <v>25</v>
      </c>
      <c r="C16" s="15">
        <v>0.68355968799999989</v>
      </c>
      <c r="D16" s="11">
        <v>0.17019707699999967</v>
      </c>
      <c r="E16" s="114">
        <f t="shared" si="8"/>
        <v>-75.101358376183285</v>
      </c>
      <c r="F16" s="15">
        <v>7.8305819349999988</v>
      </c>
      <c r="G16" s="11">
        <v>5.1710447980000005</v>
      </c>
      <c r="H16" s="114">
        <f t="shared" si="9"/>
        <v>-33.963467326901785</v>
      </c>
      <c r="I16" s="115">
        <f>(G16/G$184)*100</f>
        <v>0.13285993733640561</v>
      </c>
      <c r="J16" s="103">
        <v>11</v>
      </c>
      <c r="K16" s="103">
        <v>0</v>
      </c>
      <c r="L16" s="114">
        <f t="shared" si="10"/>
        <v>-100</v>
      </c>
      <c r="M16" s="103">
        <v>42</v>
      </c>
      <c r="N16" s="103">
        <v>17</v>
      </c>
      <c r="O16" s="114">
        <f t="shared" si="11"/>
        <v>-59.523809523809526</v>
      </c>
      <c r="P16" s="115">
        <f>(N16/N$184)*100</f>
        <v>0.15320836337418889</v>
      </c>
      <c r="Q16" s="103">
        <v>5364</v>
      </c>
      <c r="R16" s="103">
        <v>2639</v>
      </c>
      <c r="S16" s="114">
        <f t="shared" si="12"/>
        <v>-50.801640566741234</v>
      </c>
      <c r="T16" s="103">
        <v>60579</v>
      </c>
      <c r="U16" s="103">
        <v>41671</v>
      </c>
      <c r="V16" s="114">
        <f t="shared" si="13"/>
        <v>-31.212136218821705</v>
      </c>
      <c r="W16" s="115">
        <f>(U16/U$184)*100</f>
        <v>0.13165295496291138</v>
      </c>
      <c r="X16" s="15">
        <v>905.42082220000009</v>
      </c>
      <c r="Y16" s="15">
        <v>552.16902289999996</v>
      </c>
      <c r="Z16" s="114">
        <f t="shared" si="14"/>
        <v>-39.015206038852249</v>
      </c>
      <c r="AA16" s="15">
        <v>10681.723365599999</v>
      </c>
      <c r="AB16" s="15">
        <v>13670.854503613999</v>
      </c>
      <c r="AC16" s="114">
        <f t="shared" si="15"/>
        <v>27.983603728592705</v>
      </c>
      <c r="AD16" s="115">
        <f>(AB16/AB$184)*100</f>
        <v>1.3431394033840167</v>
      </c>
    </row>
    <row r="17" spans="1:30">
      <c r="A17" s="5"/>
      <c r="B17" s="25"/>
      <c r="C17" s="15"/>
      <c r="D17" s="11"/>
      <c r="E17" s="114"/>
      <c r="F17" s="15"/>
      <c r="G17" s="11"/>
      <c r="H17" s="114"/>
      <c r="I17" s="115"/>
      <c r="J17" s="103"/>
      <c r="K17" s="103"/>
      <c r="L17" s="114"/>
      <c r="M17" s="103"/>
      <c r="N17" s="103"/>
      <c r="O17" s="114"/>
      <c r="P17" s="115"/>
      <c r="Q17" s="103"/>
      <c r="R17" s="103"/>
      <c r="S17" s="114"/>
      <c r="T17" s="103"/>
      <c r="U17" s="103"/>
      <c r="V17" s="114"/>
      <c r="W17" s="115"/>
      <c r="X17" s="15"/>
      <c r="Y17" s="15"/>
      <c r="Z17" s="114"/>
      <c r="AA17" s="15"/>
      <c r="AB17" s="15"/>
      <c r="AC17" s="114"/>
      <c r="AD17" s="115"/>
    </row>
    <row r="18" spans="1:30" s="24" customFormat="1" ht="15">
      <c r="A18" s="16">
        <v>3</v>
      </c>
      <c r="B18" s="6" t="s">
        <v>66</v>
      </c>
      <c r="C18" s="12">
        <f>C19+C20+C21+C22+C23</f>
        <v>65.751171341000003</v>
      </c>
      <c r="D18" s="12">
        <f>D19+D20+D21+D22+D23</f>
        <v>70.404617963999996</v>
      </c>
      <c r="E18" s="110">
        <f t="shared" ref="E18:E21" si="16">((D18-C18)/C18)*100</f>
        <v>7.0773592745081269</v>
      </c>
      <c r="F18" s="12">
        <f>F19+F20+F21+F22+F23</f>
        <v>221.34989298999997</v>
      </c>
      <c r="G18" s="12">
        <f>G19+G20+G21+G22+G23</f>
        <v>305.17529362300002</v>
      </c>
      <c r="H18" s="110">
        <f t="shared" ref="H18:H22" si="17">((G18-F18)/F18)*100</f>
        <v>37.870088618830763</v>
      </c>
      <c r="I18" s="111">
        <f>(G18/G$179)*100</f>
        <v>0.23122512637122314</v>
      </c>
      <c r="J18" s="22">
        <f>J19+J20+J21+J22+J23</f>
        <v>4402</v>
      </c>
      <c r="K18" s="22">
        <f>K19+K20+K21+K22+K23</f>
        <v>3822</v>
      </c>
      <c r="L18" s="110">
        <f t="shared" ref="L18:L20" si="18">((K18-J18)/J18)*100</f>
        <v>-13.175829168559746</v>
      </c>
      <c r="M18" s="22">
        <f>M19+M20+M21+M22+M23</f>
        <v>15687</v>
      </c>
      <c r="N18" s="22">
        <f>N19+N20+N21+N22+N23</f>
        <v>17663</v>
      </c>
      <c r="O18" s="110">
        <f t="shared" ref="O18:O22" si="19">((N18-M18)/M18)*100</f>
        <v>12.596417415694525</v>
      </c>
      <c r="P18" s="111">
        <f>(N18/N$179)*100</f>
        <v>0.16989783237183262</v>
      </c>
      <c r="Q18" s="22">
        <f>Q19+Q20+Q21+Q22+Q23</f>
        <v>1642</v>
      </c>
      <c r="R18" s="22">
        <f>R19+R20+R21+R22+R23</f>
        <v>2209</v>
      </c>
      <c r="S18" s="110">
        <f t="shared" ref="S18:S21" si="20">((R18-Q18)/Q18)*100</f>
        <v>34.531059683313032</v>
      </c>
      <c r="T18" s="22">
        <f>T19+T20+T21+T22+T23</f>
        <v>5496</v>
      </c>
      <c r="U18" s="22">
        <f>U19+U20+U21+U22+U23</f>
        <v>9354</v>
      </c>
      <c r="V18" s="110">
        <f t="shared" ref="V18:V22" si="21">((U18-T18)/T18)*100</f>
        <v>70.196506550218345</v>
      </c>
      <c r="W18" s="111">
        <f>(U18/U$179)*100</f>
        <v>1.1782050208991578E-2</v>
      </c>
      <c r="X18" s="12">
        <f>X19+X20+X21+X22+X23</f>
        <v>956.96768773389988</v>
      </c>
      <c r="Y18" s="12">
        <f>Y19+Y20+Y21+Y22+Y23</f>
        <v>1073.2711669570999</v>
      </c>
      <c r="Z18" s="110">
        <f t="shared" ref="Z18:Z21" si="22">((Y18-X18)/X18)*100</f>
        <v>12.153333985456371</v>
      </c>
      <c r="AA18" s="12">
        <f>AA19+AA20+AA21+AA22+AA23</f>
        <v>2901.4263787607001</v>
      </c>
      <c r="AB18" s="12">
        <f>AB19+AB20+AB21+AB22+AB23</f>
        <v>4827.5716067840003</v>
      </c>
      <c r="AC18" s="110">
        <f t="shared" ref="AC18:AC22" si="23">((AB18-AA18)/AA18)*100</f>
        <v>66.386148624113076</v>
      </c>
      <c r="AD18" s="111">
        <f>(AB18/AB$179)*100</f>
        <v>0.18929060698889094</v>
      </c>
    </row>
    <row r="19" spans="1:30">
      <c r="A19" s="5"/>
      <c r="B19" s="108" t="s">
        <v>3</v>
      </c>
      <c r="C19" s="15">
        <v>30.419704500000002</v>
      </c>
      <c r="D19" s="11">
        <v>26.5358108</v>
      </c>
      <c r="E19" s="114">
        <f t="shared" si="16"/>
        <v>-12.767690429076985</v>
      </c>
      <c r="F19" s="15">
        <v>111.43528688799999</v>
      </c>
      <c r="G19" s="11">
        <v>116.95412559500001</v>
      </c>
      <c r="H19" s="114">
        <f t="shared" si="17"/>
        <v>4.952505495451204</v>
      </c>
      <c r="I19" s="115">
        <f>(G19/G$180)*100</f>
        <v>0.67289107487119837</v>
      </c>
      <c r="J19" s="103">
        <v>621</v>
      </c>
      <c r="K19" s="103">
        <v>486</v>
      </c>
      <c r="L19" s="114">
        <f t="shared" si="18"/>
        <v>-21.739130434782609</v>
      </c>
      <c r="M19" s="103">
        <v>3320</v>
      </c>
      <c r="N19" s="103">
        <v>2251</v>
      </c>
      <c r="O19" s="114">
        <f t="shared" si="19"/>
        <v>-32.19879518072289</v>
      </c>
      <c r="P19" s="115">
        <f>(N19/N$180)*100</f>
        <v>0.44369717421470928</v>
      </c>
      <c r="Q19" s="103">
        <v>0</v>
      </c>
      <c r="R19" s="103">
        <v>0</v>
      </c>
      <c r="S19" s="106" t="s">
        <v>57</v>
      </c>
      <c r="T19" s="103">
        <v>0</v>
      </c>
      <c r="U19" s="103">
        <v>0</v>
      </c>
      <c r="V19" s="106" t="s">
        <v>57</v>
      </c>
      <c r="W19" s="106" t="s">
        <v>57</v>
      </c>
      <c r="X19" s="15">
        <v>54.455081700000001</v>
      </c>
      <c r="Y19" s="15">
        <v>51.251021299999991</v>
      </c>
      <c r="Z19" s="114">
        <f t="shared" si="22"/>
        <v>-5.8838593203322835</v>
      </c>
      <c r="AA19" s="15">
        <v>195.8551957</v>
      </c>
      <c r="AB19" s="15">
        <v>226.3740541</v>
      </c>
      <c r="AC19" s="114">
        <f t="shared" si="23"/>
        <v>15.582358329031553</v>
      </c>
      <c r="AD19" s="115">
        <f>(AB19/AB$180)*100</f>
        <v>1.2214900346618434</v>
      </c>
    </row>
    <row r="20" spans="1:30">
      <c r="A20" s="5"/>
      <c r="B20" s="108" t="s">
        <v>4</v>
      </c>
      <c r="C20" s="15">
        <v>27.304387268999999</v>
      </c>
      <c r="D20" s="11">
        <v>30.961142107000001</v>
      </c>
      <c r="E20" s="114">
        <f t="shared" si="16"/>
        <v>13.392554104855131</v>
      </c>
      <c r="F20" s="15">
        <v>82.310116641999997</v>
      </c>
      <c r="G20" s="11">
        <v>133.21796381499999</v>
      </c>
      <c r="H20" s="114">
        <f t="shared" si="17"/>
        <v>61.84883371556721</v>
      </c>
      <c r="I20" s="115">
        <f>(G20/G$181)*100</f>
        <v>0.41359961922724742</v>
      </c>
      <c r="J20" s="103">
        <v>3781</v>
      </c>
      <c r="K20" s="103">
        <v>3336</v>
      </c>
      <c r="L20" s="114">
        <f t="shared" si="18"/>
        <v>-11.769373181697963</v>
      </c>
      <c r="M20" s="103">
        <v>12366</v>
      </c>
      <c r="N20" s="103">
        <v>15412</v>
      </c>
      <c r="O20" s="114">
        <f t="shared" si="19"/>
        <v>24.632055636422447</v>
      </c>
      <c r="P20" s="115">
        <f>(N20/N$181)*100</f>
        <v>0.15608934808694336</v>
      </c>
      <c r="Q20" s="103">
        <v>0</v>
      </c>
      <c r="R20" s="103">
        <v>0</v>
      </c>
      <c r="S20" s="106" t="s">
        <v>57</v>
      </c>
      <c r="T20" s="103">
        <v>0</v>
      </c>
      <c r="U20" s="103">
        <v>0</v>
      </c>
      <c r="V20" s="106" t="s">
        <v>57</v>
      </c>
      <c r="W20" s="106" t="s">
        <v>57</v>
      </c>
      <c r="X20" s="15">
        <v>534.19988609999996</v>
      </c>
      <c r="Y20" s="15">
        <v>385.42088230000002</v>
      </c>
      <c r="Z20" s="114">
        <f t="shared" si="22"/>
        <v>-27.85081159155267</v>
      </c>
      <c r="AA20" s="15">
        <v>1427.1031919000002</v>
      </c>
      <c r="AB20" s="15">
        <v>1881.7544265000001</v>
      </c>
      <c r="AC20" s="114">
        <f t="shared" si="23"/>
        <v>31.858329319177798</v>
      </c>
      <c r="AD20" s="115">
        <f>(AB20/AB$181)*100</f>
        <v>0.23143967368508089</v>
      </c>
    </row>
    <row r="21" spans="1:30">
      <c r="A21" s="5"/>
      <c r="B21" s="108" t="s">
        <v>5</v>
      </c>
      <c r="C21" s="15">
        <v>8.0270795719999999</v>
      </c>
      <c r="D21" s="11">
        <v>12.907237707</v>
      </c>
      <c r="E21" s="114">
        <f t="shared" si="16"/>
        <v>60.796184854363879</v>
      </c>
      <c r="F21" s="15">
        <v>27.601156130000003</v>
      </c>
      <c r="G21" s="11">
        <v>55.001487043000019</v>
      </c>
      <c r="H21" s="114">
        <f t="shared" si="17"/>
        <v>99.272402880320982</v>
      </c>
      <c r="I21" s="115">
        <f>(G21/G$182)*100</f>
        <v>7.0909026125214658E-2</v>
      </c>
      <c r="J21" s="103">
        <v>0</v>
      </c>
      <c r="K21" s="103">
        <v>0</v>
      </c>
      <c r="L21" s="106" t="s">
        <v>57</v>
      </c>
      <c r="M21" s="103">
        <v>0</v>
      </c>
      <c r="N21" s="103">
        <v>0</v>
      </c>
      <c r="O21" s="106" t="s">
        <v>57</v>
      </c>
      <c r="P21" s="115">
        <f>(N21/N$182)*100</f>
        <v>0</v>
      </c>
      <c r="Q21" s="103">
        <v>1642</v>
      </c>
      <c r="R21" s="103">
        <v>2154</v>
      </c>
      <c r="S21" s="114">
        <f t="shared" si="20"/>
        <v>31.181485992691837</v>
      </c>
      <c r="T21" s="103">
        <v>5067</v>
      </c>
      <c r="U21" s="103">
        <v>9133</v>
      </c>
      <c r="V21" s="114">
        <f t="shared" si="21"/>
        <v>80.244720742056444</v>
      </c>
      <c r="W21" s="115">
        <f>(U21/U$182)*100</f>
        <v>1.9974754342562552E-2</v>
      </c>
      <c r="X21" s="15">
        <v>368.31271993389987</v>
      </c>
      <c r="Y21" s="15">
        <v>636.43426335710001</v>
      </c>
      <c r="Z21" s="114">
        <f t="shared" si="22"/>
        <v>72.797253233969002</v>
      </c>
      <c r="AA21" s="15">
        <v>1277.1809911606999</v>
      </c>
      <c r="AB21" s="15">
        <v>2718.7801261840004</v>
      </c>
      <c r="AC21" s="114">
        <f t="shared" si="23"/>
        <v>112.87351949336309</v>
      </c>
      <c r="AD21" s="115">
        <f>(AB21/AB$182)*100</f>
        <v>0.48933108994761987</v>
      </c>
    </row>
    <row r="22" spans="1:30">
      <c r="A22" s="5"/>
      <c r="B22" s="108" t="s">
        <v>6</v>
      </c>
      <c r="C22" s="15">
        <v>0</v>
      </c>
      <c r="D22" s="11">
        <v>4.2735000000000001E-4</v>
      </c>
      <c r="E22" s="106" t="s">
        <v>57</v>
      </c>
      <c r="F22" s="15">
        <v>3.3333299999999989E-3</v>
      </c>
      <c r="G22" s="11">
        <v>1.7171700000000001E-3</v>
      </c>
      <c r="H22" s="114">
        <f t="shared" si="17"/>
        <v>-48.484848484848463</v>
      </c>
      <c r="I22" s="115">
        <f>(G22/G$183)*100</f>
        <v>1.839939645731854E-4</v>
      </c>
      <c r="J22" s="103">
        <v>0</v>
      </c>
      <c r="K22" s="103">
        <v>0</v>
      </c>
      <c r="L22" s="106" t="s">
        <v>57</v>
      </c>
      <c r="M22" s="103">
        <v>1</v>
      </c>
      <c r="N22" s="103">
        <v>0</v>
      </c>
      <c r="O22" s="114">
        <f t="shared" si="19"/>
        <v>-100</v>
      </c>
      <c r="P22" s="115">
        <f>(N22/N$183)*100</f>
        <v>0</v>
      </c>
      <c r="Q22" s="103">
        <v>0</v>
      </c>
      <c r="R22" s="103">
        <v>55</v>
      </c>
      <c r="S22" s="106" t="s">
        <v>57</v>
      </c>
      <c r="T22" s="103">
        <v>429</v>
      </c>
      <c r="U22" s="103">
        <v>221</v>
      </c>
      <c r="V22" s="114">
        <f t="shared" si="21"/>
        <v>-48.484848484848484</v>
      </c>
      <c r="W22" s="115">
        <f>(U22/U$183)*100</f>
        <v>1.0956415774660735E-2</v>
      </c>
      <c r="X22" s="15">
        <v>0</v>
      </c>
      <c r="Y22" s="15">
        <v>0.16500000000000001</v>
      </c>
      <c r="Z22" s="106" t="s">
        <v>57</v>
      </c>
      <c r="AA22" s="15">
        <v>1.2869999999999999</v>
      </c>
      <c r="AB22" s="15">
        <v>0.66299999999999992</v>
      </c>
      <c r="AC22" s="114">
        <f t="shared" si="23"/>
        <v>-48.484848484848484</v>
      </c>
      <c r="AD22" s="115">
        <f>(AB22/AB$183)*100</f>
        <v>4.5625991375965619E-4</v>
      </c>
    </row>
    <row r="23" spans="1:30">
      <c r="A23" s="5"/>
      <c r="B23" s="108" t="s">
        <v>25</v>
      </c>
      <c r="C23" s="15">
        <v>0</v>
      </c>
      <c r="D23" s="11">
        <v>0</v>
      </c>
      <c r="E23" s="106" t="s">
        <v>57</v>
      </c>
      <c r="F23" s="15">
        <v>0</v>
      </c>
      <c r="G23" s="11">
        <v>0</v>
      </c>
      <c r="H23" s="106" t="s">
        <v>57</v>
      </c>
      <c r="I23" s="115">
        <f>(G23/G$184)*100</f>
        <v>0</v>
      </c>
      <c r="J23" s="103">
        <v>0</v>
      </c>
      <c r="K23" s="103">
        <v>0</v>
      </c>
      <c r="L23" s="106" t="s">
        <v>57</v>
      </c>
      <c r="M23" s="103">
        <v>0</v>
      </c>
      <c r="N23" s="103">
        <v>0</v>
      </c>
      <c r="O23" s="106" t="s">
        <v>57</v>
      </c>
      <c r="P23" s="115">
        <f>(N23/N$184)*100</f>
        <v>0</v>
      </c>
      <c r="Q23" s="103">
        <v>0</v>
      </c>
      <c r="R23" s="103">
        <v>0</v>
      </c>
      <c r="S23" s="106" t="s">
        <v>57</v>
      </c>
      <c r="T23" s="103">
        <v>0</v>
      </c>
      <c r="U23" s="103">
        <v>0</v>
      </c>
      <c r="V23" s="106" t="s">
        <v>57</v>
      </c>
      <c r="W23" s="115">
        <f>(U23/U$184)*100</f>
        <v>0</v>
      </c>
      <c r="X23" s="15">
        <v>0</v>
      </c>
      <c r="Y23" s="15">
        <v>0</v>
      </c>
      <c r="Z23" s="106" t="s">
        <v>57</v>
      </c>
      <c r="AA23" s="15">
        <v>0</v>
      </c>
      <c r="AB23" s="15">
        <v>0</v>
      </c>
      <c r="AC23" s="106" t="s">
        <v>57</v>
      </c>
      <c r="AD23" s="115">
        <f>(AB23/AB$184)*100</f>
        <v>0</v>
      </c>
    </row>
    <row r="24" spans="1:30">
      <c r="A24" s="5"/>
      <c r="B24" s="108"/>
      <c r="C24" s="15"/>
      <c r="D24" s="11"/>
      <c r="E24" s="114"/>
      <c r="F24" s="15"/>
      <c r="G24" s="11"/>
      <c r="H24" s="114"/>
      <c r="I24" s="115"/>
      <c r="J24" s="103"/>
      <c r="K24" s="103"/>
      <c r="L24" s="114"/>
      <c r="M24" s="103"/>
      <c r="N24" s="103"/>
      <c r="O24" s="114"/>
      <c r="P24" s="115"/>
      <c r="Q24" s="103"/>
      <c r="R24" s="103"/>
      <c r="S24" s="114"/>
      <c r="T24" s="103"/>
      <c r="U24" s="103"/>
      <c r="V24" s="114"/>
      <c r="W24" s="115"/>
      <c r="X24" s="15"/>
      <c r="Y24" s="15"/>
      <c r="Z24" s="114"/>
      <c r="AA24" s="15"/>
      <c r="AB24" s="15"/>
      <c r="AC24" s="114"/>
      <c r="AD24" s="115"/>
    </row>
    <row r="25" spans="1:30" s="24" customFormat="1" ht="15">
      <c r="A25" s="16">
        <v>4</v>
      </c>
      <c r="B25" s="107" t="s">
        <v>30</v>
      </c>
      <c r="C25" s="12">
        <f>C26+C27+C28+C29+C30</f>
        <v>19.97189993450344</v>
      </c>
      <c r="D25" s="12">
        <f>D26+D27+D28+D29+D30</f>
        <v>23.09859825091452</v>
      </c>
      <c r="E25" s="110">
        <f t="shared" ref="E25:E30" si="24">((D25-C25)/C25)*100</f>
        <v>15.655487593393143</v>
      </c>
      <c r="F25" s="12">
        <f>F26+F27+F28+F29+F30</f>
        <v>98.714145243337214</v>
      </c>
      <c r="G25" s="12">
        <f>G26+G27+G28+G29+G30</f>
        <v>118.10100678729856</v>
      </c>
      <c r="H25" s="110">
        <f t="shared" ref="H25:H30" si="25">((G25-F25)/F25)*100</f>
        <v>19.639395647069005</v>
      </c>
      <c r="I25" s="111">
        <f>(G25/G$179)*100</f>
        <v>8.9482735954034262E-2</v>
      </c>
      <c r="J25" s="22">
        <f>J26+J27+J28+J29+J30</f>
        <v>1825</v>
      </c>
      <c r="K25" s="22">
        <f>K26+K27+K28+K29+K30</f>
        <v>2175</v>
      </c>
      <c r="L25" s="110">
        <f t="shared" ref="L25:L30" si="26">((K25-J25)/J25)*100</f>
        <v>19.17808219178082</v>
      </c>
      <c r="M25" s="22">
        <f>M26+M27+M28+M29+M30</f>
        <v>9738</v>
      </c>
      <c r="N25" s="22">
        <f>N26+N27+N28+N29+N30</f>
        <v>8741</v>
      </c>
      <c r="O25" s="110">
        <f t="shared" ref="O25:O30" si="27">((N25-M25)/M25)*100</f>
        <v>-10.238241938796468</v>
      </c>
      <c r="P25" s="111">
        <f>(N25/N$179)*100</f>
        <v>8.407840982631426E-2</v>
      </c>
      <c r="Q25" s="22">
        <f>Q26+Q27+Q28+Q29+Q30</f>
        <v>55354</v>
      </c>
      <c r="R25" s="22">
        <f>R26+R27+R28+R29+R30</f>
        <v>16851</v>
      </c>
      <c r="S25" s="110">
        <f t="shared" ref="S25:S30" si="28">((R25-Q25)/Q25)*100</f>
        <v>-69.557755537088568</v>
      </c>
      <c r="T25" s="22">
        <f>T26+T27+T28+T29+T30</f>
        <v>300461</v>
      </c>
      <c r="U25" s="22">
        <f>U26+U27+U28+U29+U30</f>
        <v>156719</v>
      </c>
      <c r="V25" s="110">
        <f t="shared" ref="V25:V30" si="29">((U25-T25)/T25)*100</f>
        <v>-47.840485121197098</v>
      </c>
      <c r="W25" s="111">
        <f>(U25/U$179)*100</f>
        <v>0.19739909415254983</v>
      </c>
      <c r="X25" s="12">
        <f>X26+X27+X28+X29+X30</f>
        <v>970.18616024546156</v>
      </c>
      <c r="Y25" s="12">
        <f>Y26+Y27+Y28+Y29+Y30</f>
        <v>1691.8308716614774</v>
      </c>
      <c r="Z25" s="110">
        <f t="shared" ref="Z25:Z30" si="30">((Y25-X25)/X25)*100</f>
        <v>74.382086756776289</v>
      </c>
      <c r="AA25" s="12">
        <f>AA26+AA27+AA28+AA29+AA30</f>
        <v>12848.458346370368</v>
      </c>
      <c r="AB25" s="12">
        <f>AB26+AB27+AB28+AB29+AB30</f>
        <v>10923.632367194512</v>
      </c>
      <c r="AC25" s="110">
        <f t="shared" ref="AC25:AC30" si="31">((AB25-AA25)/AA25)*100</f>
        <v>-14.980987814149785</v>
      </c>
      <c r="AD25" s="111">
        <f>(AB25/AB$179)*100</f>
        <v>0.42831907421197607</v>
      </c>
    </row>
    <row r="26" spans="1:30">
      <c r="A26" s="5"/>
      <c r="B26" s="108" t="s">
        <v>3</v>
      </c>
      <c r="C26" s="15">
        <v>1.6014854000000003</v>
      </c>
      <c r="D26" s="11">
        <v>0.83100789999999991</v>
      </c>
      <c r="E26" s="114">
        <f t="shared" si="24"/>
        <v>-48.110179462141851</v>
      </c>
      <c r="F26" s="15">
        <v>7.7837593000000007</v>
      </c>
      <c r="G26" s="11">
        <v>4.980437900000001</v>
      </c>
      <c r="H26" s="114">
        <f t="shared" si="25"/>
        <v>-36.015006270813124</v>
      </c>
      <c r="I26" s="115">
        <f>(G26/G$180)*100</f>
        <v>2.865475839189659E-2</v>
      </c>
      <c r="J26" s="103">
        <v>97</v>
      </c>
      <c r="K26" s="103">
        <v>9</v>
      </c>
      <c r="L26" s="114">
        <f t="shared" si="26"/>
        <v>-90.721649484536087</v>
      </c>
      <c r="M26" s="103">
        <v>200</v>
      </c>
      <c r="N26" s="103">
        <v>26</v>
      </c>
      <c r="O26" s="114">
        <f t="shared" si="27"/>
        <v>-87</v>
      </c>
      <c r="P26" s="115">
        <f>(N26/N$180)*100</f>
        <v>5.124889617762079E-3</v>
      </c>
      <c r="Q26" s="103">
        <v>0</v>
      </c>
      <c r="R26" s="103">
        <v>0</v>
      </c>
      <c r="S26" s="106" t="s">
        <v>57</v>
      </c>
      <c r="T26" s="103">
        <v>0</v>
      </c>
      <c r="U26" s="103">
        <v>0</v>
      </c>
      <c r="V26" s="106" t="s">
        <v>57</v>
      </c>
      <c r="W26" s="106" t="s">
        <v>57</v>
      </c>
      <c r="X26" s="15">
        <v>2.2685750000000002</v>
      </c>
      <c r="Y26" s="15">
        <v>0.52462500000000001</v>
      </c>
      <c r="Z26" s="114">
        <f t="shared" si="30"/>
        <v>-76.874249253385941</v>
      </c>
      <c r="AA26" s="15">
        <v>3.4984921999999998</v>
      </c>
      <c r="AB26" s="15">
        <v>3.3105358999999996</v>
      </c>
      <c r="AC26" s="114">
        <f t="shared" si="31"/>
        <v>-5.3724944706179478</v>
      </c>
      <c r="AD26" s="115">
        <f>(AB26/AB$180)*100</f>
        <v>1.7863295452816987E-2</v>
      </c>
    </row>
    <row r="27" spans="1:30">
      <c r="A27" s="5"/>
      <c r="B27" s="108" t="s">
        <v>4</v>
      </c>
      <c r="C27" s="15">
        <v>11.098549200000001</v>
      </c>
      <c r="D27" s="11">
        <v>15.587529299999996</v>
      </c>
      <c r="E27" s="114">
        <f t="shared" si="24"/>
        <v>40.446548635383763</v>
      </c>
      <c r="F27" s="15">
        <v>58.172983499999994</v>
      </c>
      <c r="G27" s="11">
        <v>66.471996600000011</v>
      </c>
      <c r="H27" s="114">
        <f t="shared" si="25"/>
        <v>14.266095016426341</v>
      </c>
      <c r="I27" s="115">
        <f>(G27/G$181)*100</f>
        <v>0.20637451358447556</v>
      </c>
      <c r="J27" s="103">
        <v>1715</v>
      </c>
      <c r="K27" s="103">
        <v>2158</v>
      </c>
      <c r="L27" s="114">
        <f t="shared" si="26"/>
        <v>25.830903790087461</v>
      </c>
      <c r="M27" s="103">
        <v>9460</v>
      </c>
      <c r="N27" s="103">
        <v>8650</v>
      </c>
      <c r="O27" s="114">
        <f t="shared" si="27"/>
        <v>-8.5623678646934458</v>
      </c>
      <c r="P27" s="115">
        <f>(N27/N$181)*100</f>
        <v>8.7605298530499615E-2</v>
      </c>
      <c r="Q27" s="103">
        <v>0</v>
      </c>
      <c r="R27" s="103">
        <v>0</v>
      </c>
      <c r="S27" s="106" t="s">
        <v>57</v>
      </c>
      <c r="T27" s="103">
        <v>0</v>
      </c>
      <c r="U27" s="103">
        <v>0</v>
      </c>
      <c r="V27" s="106" t="s">
        <v>57</v>
      </c>
      <c r="W27" s="106" t="s">
        <v>57</v>
      </c>
      <c r="X27" s="15">
        <v>198.96286060000006</v>
      </c>
      <c r="Y27" s="15">
        <v>278.22474170000004</v>
      </c>
      <c r="Z27" s="114">
        <f t="shared" si="30"/>
        <v>39.837525888487328</v>
      </c>
      <c r="AA27" s="15">
        <v>1090.8435030000001</v>
      </c>
      <c r="AB27" s="15">
        <v>1335.7764839000001</v>
      </c>
      <c r="AC27" s="114">
        <f t="shared" si="31"/>
        <v>22.453539873170982</v>
      </c>
      <c r="AD27" s="115">
        <f>(AB27/AB$181)*100</f>
        <v>0.164289064075716</v>
      </c>
    </row>
    <row r="28" spans="1:30">
      <c r="A28" s="5"/>
      <c r="B28" s="108" t="s">
        <v>5</v>
      </c>
      <c r="C28" s="15">
        <v>0.11153996447135787</v>
      </c>
      <c r="D28" s="11">
        <v>0.66164896600000001</v>
      </c>
      <c r="E28" s="114">
        <f t="shared" si="24"/>
        <v>493.19452819971411</v>
      </c>
      <c r="F28" s="15">
        <v>0.76850593012446788</v>
      </c>
      <c r="G28" s="11">
        <v>2.0355603807059994</v>
      </c>
      <c r="H28" s="114">
        <f t="shared" si="25"/>
        <v>164.87243636185323</v>
      </c>
      <c r="I28" s="115">
        <f>(G28/G$182)*100</f>
        <v>2.6242854870830905E-3</v>
      </c>
      <c r="J28" s="103">
        <v>0</v>
      </c>
      <c r="K28" s="103">
        <v>1</v>
      </c>
      <c r="L28" s="106" t="s">
        <v>57</v>
      </c>
      <c r="M28" s="103">
        <v>0</v>
      </c>
      <c r="N28" s="103">
        <v>1</v>
      </c>
      <c r="O28" s="106" t="s">
        <v>57</v>
      </c>
      <c r="P28" s="115">
        <f>(N28/N$182)*100</f>
        <v>0.17064846416382254</v>
      </c>
      <c r="Q28" s="103">
        <v>2434</v>
      </c>
      <c r="R28" s="103">
        <v>319</v>
      </c>
      <c r="S28" s="114">
        <f t="shared" si="28"/>
        <v>-86.89400164338538</v>
      </c>
      <c r="T28" s="103">
        <v>7482</v>
      </c>
      <c r="U28" s="103">
        <v>2716</v>
      </c>
      <c r="V28" s="114">
        <f t="shared" si="29"/>
        <v>-63.699545576049189</v>
      </c>
      <c r="W28" s="115">
        <f>(U28/U$182)*100</f>
        <v>5.9401546911639E-3</v>
      </c>
      <c r="X28" s="15">
        <v>10.178772500000001</v>
      </c>
      <c r="Y28" s="15">
        <v>45.087038400000004</v>
      </c>
      <c r="Z28" s="114">
        <f t="shared" si="30"/>
        <v>342.95162702575385</v>
      </c>
      <c r="AA28" s="15">
        <v>44.103546299999998</v>
      </c>
      <c r="AB28" s="15">
        <v>119.44364684</v>
      </c>
      <c r="AC28" s="114">
        <f t="shared" si="31"/>
        <v>170.82549332319795</v>
      </c>
      <c r="AD28" s="115">
        <f>(AB28/AB$182)*100</f>
        <v>2.1497689104256826E-2</v>
      </c>
    </row>
    <row r="29" spans="1:30">
      <c r="A29" s="5"/>
      <c r="B29" s="108" t="s">
        <v>6</v>
      </c>
      <c r="C29" s="15">
        <v>0.1250288</v>
      </c>
      <c r="D29" s="11">
        <v>8.68173E-2</v>
      </c>
      <c r="E29" s="114">
        <f t="shared" si="24"/>
        <v>-30.562158478686506</v>
      </c>
      <c r="F29" s="15">
        <v>0.81227684899999997</v>
      </c>
      <c r="G29" s="11">
        <v>0.49083480000000002</v>
      </c>
      <c r="H29" s="114">
        <f t="shared" si="25"/>
        <v>-39.57296695033591</v>
      </c>
      <c r="I29" s="115">
        <f>(G29/G$183)*100</f>
        <v>5.2592719883579692E-2</v>
      </c>
      <c r="J29" s="103">
        <v>0</v>
      </c>
      <c r="K29" s="103">
        <v>0</v>
      </c>
      <c r="L29" s="106" t="s">
        <v>57</v>
      </c>
      <c r="M29" s="103">
        <v>0</v>
      </c>
      <c r="N29" s="103">
        <v>0</v>
      </c>
      <c r="O29" s="106" t="s">
        <v>57</v>
      </c>
      <c r="P29" s="115">
        <f>(N29/N$183)*100</f>
        <v>0</v>
      </c>
      <c r="Q29" s="103">
        <v>0</v>
      </c>
      <c r="R29" s="103">
        <v>0</v>
      </c>
      <c r="S29" s="106" t="s">
        <v>57</v>
      </c>
      <c r="T29" s="103">
        <v>0</v>
      </c>
      <c r="U29" s="103">
        <v>0</v>
      </c>
      <c r="V29" s="106" t="s">
        <v>57</v>
      </c>
      <c r="W29" s="115">
        <f>(U29/U$183)*100</f>
        <v>0</v>
      </c>
      <c r="X29" s="15">
        <v>-0.16800000000000001</v>
      </c>
      <c r="Y29" s="15">
        <v>-2.2679999999999998</v>
      </c>
      <c r="Z29" s="114">
        <f t="shared" si="30"/>
        <v>1249.9999999999995</v>
      </c>
      <c r="AA29" s="15">
        <v>-0.52450000000000008</v>
      </c>
      <c r="AB29" s="15">
        <v>-7.2629999999999999</v>
      </c>
      <c r="AC29" s="114">
        <f t="shared" si="31"/>
        <v>1284.7473784556719</v>
      </c>
      <c r="AD29" s="115">
        <f>(AB29/AB$183)*100</f>
        <v>-4.9982138063897185E-3</v>
      </c>
    </row>
    <row r="30" spans="1:30">
      <c r="A30" s="5"/>
      <c r="B30" s="108" t="s">
        <v>25</v>
      </c>
      <c r="C30" s="15">
        <v>7.0352965700320826</v>
      </c>
      <c r="D30" s="11">
        <v>5.9315947849145223</v>
      </c>
      <c r="E30" s="114">
        <f t="shared" si="24"/>
        <v>-15.688063383410816</v>
      </c>
      <c r="F30" s="15">
        <v>31.176619664212755</v>
      </c>
      <c r="G30" s="11">
        <v>44.122177106592552</v>
      </c>
      <c r="H30" s="114">
        <f t="shared" si="25"/>
        <v>41.523287584766088</v>
      </c>
      <c r="I30" s="115">
        <f>(G30/G$184)*100</f>
        <v>1.1336335140231126</v>
      </c>
      <c r="J30" s="103">
        <v>13</v>
      </c>
      <c r="K30" s="103">
        <v>7</v>
      </c>
      <c r="L30" s="114">
        <f t="shared" si="26"/>
        <v>-46.153846153846153</v>
      </c>
      <c r="M30" s="103">
        <v>78</v>
      </c>
      <c r="N30" s="103">
        <v>64</v>
      </c>
      <c r="O30" s="114">
        <f t="shared" si="27"/>
        <v>-17.948717948717949</v>
      </c>
      <c r="P30" s="115">
        <f>(N30/N$184)*100</f>
        <v>0.57678442682047582</v>
      </c>
      <c r="Q30" s="103">
        <v>52920</v>
      </c>
      <c r="R30" s="103">
        <v>16532</v>
      </c>
      <c r="S30" s="114">
        <f t="shared" si="28"/>
        <v>-68.760393046107325</v>
      </c>
      <c r="T30" s="103">
        <v>292979</v>
      </c>
      <c r="U30" s="103">
        <v>154003</v>
      </c>
      <c r="V30" s="114">
        <f t="shared" si="29"/>
        <v>-47.435481723946083</v>
      </c>
      <c r="W30" s="115">
        <f>(U30/U$184)*100</f>
        <v>0.48654819954292533</v>
      </c>
      <c r="X30" s="15">
        <v>758.94395214546148</v>
      </c>
      <c r="Y30" s="15">
        <v>1370.2624665614774</v>
      </c>
      <c r="Z30" s="114">
        <f t="shared" si="30"/>
        <v>80.548571826401314</v>
      </c>
      <c r="AA30" s="15">
        <v>11710.537304870368</v>
      </c>
      <c r="AB30" s="15">
        <v>9472.3647005545117</v>
      </c>
      <c r="AC30" s="114">
        <f t="shared" si="31"/>
        <v>-19.112467225436433</v>
      </c>
      <c r="AD30" s="115">
        <f>(AB30/AB$184)*100</f>
        <v>0.93064455255340905</v>
      </c>
    </row>
    <row r="31" spans="1:30">
      <c r="A31" s="5"/>
      <c r="B31" s="108"/>
      <c r="C31" s="15"/>
      <c r="D31" s="11"/>
      <c r="E31" s="114"/>
      <c r="F31" s="15"/>
      <c r="G31" s="11"/>
      <c r="H31" s="114"/>
      <c r="I31" s="115"/>
      <c r="J31" s="103"/>
      <c r="K31" s="103"/>
      <c r="L31" s="114"/>
      <c r="M31" s="103"/>
      <c r="N31" s="103"/>
      <c r="O31" s="114"/>
      <c r="P31" s="115"/>
      <c r="Q31" s="103"/>
      <c r="R31" s="103"/>
      <c r="S31" s="114"/>
      <c r="T31" s="103"/>
      <c r="U31" s="103"/>
      <c r="V31" s="114"/>
      <c r="W31" s="115"/>
      <c r="X31" s="15"/>
      <c r="Y31" s="15"/>
      <c r="Z31" s="114"/>
      <c r="AA31" s="15"/>
      <c r="AB31" s="15"/>
      <c r="AC31" s="114"/>
      <c r="AD31" s="115"/>
    </row>
    <row r="32" spans="1:30" s="24" customFormat="1" ht="15">
      <c r="A32" s="16">
        <v>5</v>
      </c>
      <c r="B32" s="107" t="s">
        <v>31</v>
      </c>
      <c r="C32" s="12">
        <f>C33+C34+C35+C36+C37</f>
        <v>413.72864700510092</v>
      </c>
      <c r="D32" s="12">
        <f>D33+D34+D35+D36+D37</f>
        <v>1084.2535604393745</v>
      </c>
      <c r="E32" s="110">
        <f t="shared" ref="E32:E37" si="32">((D32-C32)/C32)*100</f>
        <v>162.06876615580515</v>
      </c>
      <c r="F32" s="12">
        <f>F33+F34+F35+F36+F37</f>
        <v>2113.9976784730366</v>
      </c>
      <c r="G32" s="12">
        <f>G33+G34+G35+G36+G37</f>
        <v>3522.3820441679836</v>
      </c>
      <c r="H32" s="110">
        <f t="shared" ref="H32:H37" si="33">((G32-F32)/F32)*100</f>
        <v>66.621850157954682</v>
      </c>
      <c r="I32" s="111">
        <f>(G32/G$179)*100</f>
        <v>2.6688373872644515</v>
      </c>
      <c r="J32" s="22">
        <f>J33+J34+J35+J36+J37</f>
        <v>33449</v>
      </c>
      <c r="K32" s="22">
        <f>K33+K34+K35+K36+K37</f>
        <v>40725</v>
      </c>
      <c r="L32" s="110">
        <f t="shared" ref="L32:L37" si="34">((K32-J32)/J32)*100</f>
        <v>21.752518759903136</v>
      </c>
      <c r="M32" s="22">
        <f>M33+M34+M35+M36+M37</f>
        <v>188747</v>
      </c>
      <c r="N32" s="22">
        <f>N33+N34+N35+N36+N37</f>
        <v>186168</v>
      </c>
      <c r="O32" s="110">
        <f t="shared" ref="O32:O37" si="35">((N32-M32)/M32)*100</f>
        <v>-1.3663793331814544</v>
      </c>
      <c r="P32" s="111">
        <f>(N32/N$179)*100</f>
        <v>1.7907229608220196</v>
      </c>
      <c r="Q32" s="22">
        <f>Q33+Q34+Q35+Q36+Q37</f>
        <v>1650617</v>
      </c>
      <c r="R32" s="22">
        <f>R33+R34+R35+R36+R37</f>
        <v>2752653</v>
      </c>
      <c r="S32" s="110">
        <f t="shared" ref="S32:S37" si="36">((R32-Q32)/Q32)*100</f>
        <v>66.765094507084328</v>
      </c>
      <c r="T32" s="22">
        <f>T33+T34+T35+T36+T37</f>
        <v>5715727</v>
      </c>
      <c r="U32" s="22">
        <f>U33+U34+U35+U36+U37</f>
        <v>11668739</v>
      </c>
      <c r="V32" s="110">
        <f t="shared" ref="V32:V37" si="37">((U32-T32)/T32)*100</f>
        <v>104.15144040294437</v>
      </c>
      <c r="W32" s="111">
        <f>(U32/U$179)*100</f>
        <v>14.697634036093454</v>
      </c>
      <c r="X32" s="12">
        <f>X33+X34+X35+X36+X37</f>
        <v>17500.772477745802</v>
      </c>
      <c r="Y32" s="12">
        <f>Y33+Y34+Y35+Y36+Y37</f>
        <v>37383.923986802271</v>
      </c>
      <c r="Z32" s="110">
        <f t="shared" ref="Z32:Z37" si="38">((Y32-X32)/X32)*100</f>
        <v>113.61299356551334</v>
      </c>
      <c r="AA32" s="12">
        <f>AA33+AA34+AA35+AA36+AA37</f>
        <v>107357.23286919655</v>
      </c>
      <c r="AB32" s="12">
        <f>AB33+AB34+AB35+AB36+AB37</f>
        <v>184827.48252243554</v>
      </c>
      <c r="AC32" s="110">
        <f t="shared" ref="AC32:AC37" si="39">((AB32-AA32)/AA32)*100</f>
        <v>72.16118335280521</v>
      </c>
      <c r="AD32" s="111">
        <f>(AB32/AB$179)*100</f>
        <v>7.2471439482608258</v>
      </c>
    </row>
    <row r="33" spans="1:30">
      <c r="A33" s="5"/>
      <c r="B33" s="108" t="s">
        <v>3</v>
      </c>
      <c r="C33" s="15">
        <v>4.8048550659999991</v>
      </c>
      <c r="D33" s="11">
        <v>35.712319491999985</v>
      </c>
      <c r="E33" s="114">
        <f t="shared" si="32"/>
        <v>643.25487452694779</v>
      </c>
      <c r="F33" s="15">
        <v>23.710654691879974</v>
      </c>
      <c r="G33" s="11">
        <v>122.13192813199996</v>
      </c>
      <c r="H33" s="114">
        <f t="shared" si="33"/>
        <v>415.09302344918228</v>
      </c>
      <c r="I33" s="115">
        <f>(G33/G$180)*100</f>
        <v>0.70268136313052643</v>
      </c>
      <c r="J33" s="103">
        <v>103</v>
      </c>
      <c r="K33" s="103">
        <v>415</v>
      </c>
      <c r="L33" s="114">
        <f t="shared" si="34"/>
        <v>302.91262135922329</v>
      </c>
      <c r="M33" s="103">
        <v>430</v>
      </c>
      <c r="N33" s="103">
        <v>1666</v>
      </c>
      <c r="O33" s="114">
        <f t="shared" si="35"/>
        <v>287.44186046511629</v>
      </c>
      <c r="P33" s="115">
        <f>(N33/N$180)*100</f>
        <v>0.32838715781506245</v>
      </c>
      <c r="Q33" s="103">
        <v>0</v>
      </c>
      <c r="R33" s="103">
        <v>0</v>
      </c>
      <c r="S33" s="106" t="s">
        <v>57</v>
      </c>
      <c r="T33" s="103">
        <v>0</v>
      </c>
      <c r="U33" s="103">
        <v>0</v>
      </c>
      <c r="V33" s="106" t="s">
        <v>57</v>
      </c>
      <c r="W33" s="106" t="s">
        <v>57</v>
      </c>
      <c r="X33" s="15">
        <v>8.1806536000000012</v>
      </c>
      <c r="Y33" s="15">
        <v>46.686599999999999</v>
      </c>
      <c r="Z33" s="114">
        <f t="shared" si="38"/>
        <v>470.69523149103867</v>
      </c>
      <c r="AA33" s="15">
        <v>78.676358199999996</v>
      </c>
      <c r="AB33" s="15">
        <v>189.53639569999999</v>
      </c>
      <c r="AC33" s="114">
        <f t="shared" si="39"/>
        <v>140.90641717069207</v>
      </c>
      <c r="AD33" s="115">
        <f>(AB33/AB$180)*100</f>
        <v>1.0227179942229689</v>
      </c>
    </row>
    <row r="34" spans="1:30">
      <c r="A34" s="5"/>
      <c r="B34" s="108" t="s">
        <v>4</v>
      </c>
      <c r="C34" s="15">
        <v>183.27691198910097</v>
      </c>
      <c r="D34" s="11">
        <v>296.61944499537441</v>
      </c>
      <c r="E34" s="114">
        <f t="shared" si="32"/>
        <v>61.842231940820589</v>
      </c>
      <c r="F34" s="15">
        <v>862.95417610615652</v>
      </c>
      <c r="G34" s="11">
        <v>1293.5774267974632</v>
      </c>
      <c r="H34" s="114">
        <f t="shared" si="33"/>
        <v>49.901056465637112</v>
      </c>
      <c r="I34" s="115">
        <f>(G34/G$181)*100</f>
        <v>4.0161485421544265</v>
      </c>
      <c r="J34" s="103">
        <v>33327</v>
      </c>
      <c r="K34" s="103">
        <v>40294</v>
      </c>
      <c r="L34" s="114">
        <f t="shared" si="34"/>
        <v>20.904971944669487</v>
      </c>
      <c r="M34" s="103">
        <v>188257</v>
      </c>
      <c r="N34" s="103">
        <v>184413</v>
      </c>
      <c r="O34" s="114">
        <f t="shared" si="35"/>
        <v>-2.041889544611887</v>
      </c>
      <c r="P34" s="115">
        <f>(N34/N$181)*100</f>
        <v>1.867694325769367</v>
      </c>
      <c r="Q34" s="103">
        <v>0</v>
      </c>
      <c r="R34" s="103">
        <v>0</v>
      </c>
      <c r="S34" s="106" t="s">
        <v>57</v>
      </c>
      <c r="T34" s="103">
        <v>0</v>
      </c>
      <c r="U34" s="103">
        <v>0</v>
      </c>
      <c r="V34" s="106" t="s">
        <v>57</v>
      </c>
      <c r="W34" s="106" t="s">
        <v>57</v>
      </c>
      <c r="X34" s="15">
        <v>4290.5550011978003</v>
      </c>
      <c r="Y34" s="15">
        <v>4975.947574725501</v>
      </c>
      <c r="Z34" s="114">
        <f t="shared" si="38"/>
        <v>15.974450236306462</v>
      </c>
      <c r="AA34" s="15">
        <v>42428.475527848554</v>
      </c>
      <c r="AB34" s="15">
        <v>28092.076645653506</v>
      </c>
      <c r="AC34" s="114">
        <f t="shared" si="39"/>
        <v>-33.789568689040316</v>
      </c>
      <c r="AD34" s="115">
        <f>(AB34/AB$181)*100</f>
        <v>3.4550847658156565</v>
      </c>
    </row>
    <row r="35" spans="1:30">
      <c r="A35" s="5"/>
      <c r="B35" s="108" t="s">
        <v>5</v>
      </c>
      <c r="C35" s="15">
        <v>211.73167941700001</v>
      </c>
      <c r="D35" s="11">
        <v>720.27249126100014</v>
      </c>
      <c r="E35" s="114">
        <f t="shared" si="32"/>
        <v>240.1817305961298</v>
      </c>
      <c r="F35" s="15">
        <v>1153.370875546</v>
      </c>
      <c r="G35" s="11">
        <v>1955.0915808035204</v>
      </c>
      <c r="H35" s="114">
        <f t="shared" si="33"/>
        <v>69.51109328801023</v>
      </c>
      <c r="I35" s="115">
        <f>(G35/G$182)*100</f>
        <v>2.5205434877060799</v>
      </c>
      <c r="J35" s="103">
        <v>13</v>
      </c>
      <c r="K35" s="103">
        <v>9</v>
      </c>
      <c r="L35" s="114">
        <f t="shared" si="34"/>
        <v>-30.76923076923077</v>
      </c>
      <c r="M35" s="103">
        <v>33</v>
      </c>
      <c r="N35" s="103">
        <v>44</v>
      </c>
      <c r="O35" s="114">
        <f t="shared" si="35"/>
        <v>33.333333333333329</v>
      </c>
      <c r="P35" s="115">
        <f>(N35/N$182)*100</f>
        <v>7.5085324232081918</v>
      </c>
      <c r="Q35" s="103">
        <v>1170501</v>
      </c>
      <c r="R35" s="103">
        <v>2150951</v>
      </c>
      <c r="S35" s="114">
        <f t="shared" si="36"/>
        <v>83.763277434192702</v>
      </c>
      <c r="T35" s="103">
        <v>3433428</v>
      </c>
      <c r="U35" s="103">
        <v>8529712</v>
      </c>
      <c r="V35" s="114">
        <f t="shared" si="37"/>
        <v>148.43136364007051</v>
      </c>
      <c r="W35" s="115">
        <f>(U35/U$182)*100</f>
        <v>18.655305136626289</v>
      </c>
      <c r="X35" s="15">
        <v>7602.5750227999997</v>
      </c>
      <c r="Y35" s="15">
        <v>14508.293292499999</v>
      </c>
      <c r="Z35" s="114">
        <f t="shared" si="38"/>
        <v>90.833937830141252</v>
      </c>
      <c r="AA35" s="15">
        <v>22241.400090400002</v>
      </c>
      <c r="AB35" s="15">
        <v>53800.263987600003</v>
      </c>
      <c r="AC35" s="114">
        <f t="shared" si="39"/>
        <v>141.89243378982096</v>
      </c>
      <c r="AD35" s="115">
        <f>(AB35/AB$182)*100</f>
        <v>9.6830713020815651</v>
      </c>
    </row>
    <row r="36" spans="1:30">
      <c r="A36" s="5"/>
      <c r="B36" s="108" t="s">
        <v>6</v>
      </c>
      <c r="C36" s="15">
        <v>-1.2500000000000001E-5</v>
      </c>
      <c r="D36" s="11">
        <v>0</v>
      </c>
      <c r="E36" s="114">
        <f t="shared" si="32"/>
        <v>-100</v>
      </c>
      <c r="F36" s="15">
        <v>1.0364560000000003E-3</v>
      </c>
      <c r="G36" s="11">
        <v>0</v>
      </c>
      <c r="H36" s="114">
        <f t="shared" si="33"/>
        <v>-100</v>
      </c>
      <c r="I36" s="115">
        <f>(G36/G$183)*100</f>
        <v>0</v>
      </c>
      <c r="J36" s="103">
        <v>0</v>
      </c>
      <c r="K36" s="103">
        <v>0</v>
      </c>
      <c r="L36" s="106" t="s">
        <v>57</v>
      </c>
      <c r="M36" s="103">
        <v>0</v>
      </c>
      <c r="N36" s="103">
        <v>0</v>
      </c>
      <c r="O36" s="106" t="s">
        <v>57</v>
      </c>
      <c r="P36" s="115">
        <f>(N36/N$183)*100</f>
        <v>0</v>
      </c>
      <c r="Q36" s="103">
        <v>0</v>
      </c>
      <c r="R36" s="103">
        <v>0</v>
      </c>
      <c r="S36" s="106" t="s">
        <v>57</v>
      </c>
      <c r="T36" s="103">
        <v>0</v>
      </c>
      <c r="U36" s="103">
        <v>0</v>
      </c>
      <c r="V36" s="106" t="s">
        <v>57</v>
      </c>
      <c r="W36" s="115">
        <f>(U36/U$183)*100</f>
        <v>0</v>
      </c>
      <c r="X36" s="15">
        <v>0</v>
      </c>
      <c r="Y36" s="15">
        <v>0</v>
      </c>
      <c r="Z36" s="106" t="s">
        <v>57</v>
      </c>
      <c r="AA36" s="15">
        <v>0</v>
      </c>
      <c r="AB36" s="15">
        <v>0</v>
      </c>
      <c r="AC36" s="106" t="s">
        <v>57</v>
      </c>
      <c r="AD36" s="115">
        <f>(AB36/AB$183)*100</f>
        <v>0</v>
      </c>
    </row>
    <row r="37" spans="1:30">
      <c r="A37" s="5"/>
      <c r="B37" s="108" t="s">
        <v>25</v>
      </c>
      <c r="C37" s="15">
        <v>13.915213033000002</v>
      </c>
      <c r="D37" s="11">
        <v>31.649304690999987</v>
      </c>
      <c r="E37" s="114">
        <f t="shared" si="32"/>
        <v>127.44391060304639</v>
      </c>
      <c r="F37" s="15">
        <v>73.960935673000009</v>
      </c>
      <c r="G37" s="11">
        <v>151.58110843499998</v>
      </c>
      <c r="H37" s="114">
        <f t="shared" si="33"/>
        <v>104.94752676626263</v>
      </c>
      <c r="I37" s="115">
        <f>(G37/G$184)*100</f>
        <v>3.8945817247311734</v>
      </c>
      <c r="J37" s="103">
        <v>6</v>
      </c>
      <c r="K37" s="103">
        <v>7</v>
      </c>
      <c r="L37" s="114">
        <f t="shared" si="34"/>
        <v>16.666666666666664</v>
      </c>
      <c r="M37" s="103">
        <v>27</v>
      </c>
      <c r="N37" s="103">
        <v>45</v>
      </c>
      <c r="O37" s="114">
        <f t="shared" si="35"/>
        <v>66.666666666666657</v>
      </c>
      <c r="P37" s="115">
        <f>(N37/N$184)*100</f>
        <v>0.40555155010814703</v>
      </c>
      <c r="Q37" s="103">
        <v>480116</v>
      </c>
      <c r="R37" s="103">
        <v>601702</v>
      </c>
      <c r="S37" s="114">
        <f t="shared" si="36"/>
        <v>25.324296628314823</v>
      </c>
      <c r="T37" s="103">
        <v>2282299</v>
      </c>
      <c r="U37" s="103">
        <v>3139027</v>
      </c>
      <c r="V37" s="114">
        <f t="shared" si="37"/>
        <v>37.537938718809407</v>
      </c>
      <c r="W37" s="115">
        <f>(U37/U$184)*100</f>
        <v>9.9172609310638755</v>
      </c>
      <c r="X37" s="15">
        <v>5599.4618001480003</v>
      </c>
      <c r="Y37" s="15">
        <v>17852.996519576769</v>
      </c>
      <c r="Z37" s="114">
        <f t="shared" si="38"/>
        <v>218.83415150907703</v>
      </c>
      <c r="AA37" s="15">
        <v>42608.680892748001</v>
      </c>
      <c r="AB37" s="15">
        <v>102745.60549348203</v>
      </c>
      <c r="AC37" s="114">
        <f t="shared" si="39"/>
        <v>141.13772907475607</v>
      </c>
      <c r="AD37" s="115">
        <f>(AB37/AB$184)*100</f>
        <v>10.09459000725691</v>
      </c>
    </row>
    <row r="38" spans="1:30">
      <c r="A38" s="5"/>
      <c r="B38" s="108"/>
      <c r="C38" s="15"/>
      <c r="D38" s="11"/>
      <c r="E38" s="114"/>
      <c r="F38" s="15"/>
      <c r="G38" s="11"/>
      <c r="H38" s="114"/>
      <c r="I38" s="115"/>
      <c r="J38" s="103"/>
      <c r="K38" s="103"/>
      <c r="L38" s="114"/>
      <c r="M38" s="103"/>
      <c r="N38" s="103"/>
      <c r="O38" s="114"/>
      <c r="P38" s="115"/>
      <c r="Q38" s="103"/>
      <c r="R38" s="103"/>
      <c r="S38" s="114"/>
      <c r="T38" s="103"/>
      <c r="U38" s="103"/>
      <c r="V38" s="114"/>
      <c r="W38" s="115"/>
      <c r="X38" s="15"/>
      <c r="Y38" s="15"/>
      <c r="Z38" s="114"/>
      <c r="AA38" s="15"/>
      <c r="AB38" s="15"/>
      <c r="AC38" s="114"/>
      <c r="AD38" s="115"/>
    </row>
    <row r="39" spans="1:30" s="24" customFormat="1" ht="15">
      <c r="A39" s="16">
        <v>6</v>
      </c>
      <c r="B39" s="107" t="s">
        <v>14</v>
      </c>
      <c r="C39" s="12">
        <f>C40+C41+C42+C43+C44</f>
        <v>63.034351569132376</v>
      </c>
      <c r="D39" s="12">
        <f>D40+D41+D42+D43+D44</f>
        <v>85.086108564208132</v>
      </c>
      <c r="E39" s="110">
        <f t="shared" ref="E39:E44" si="40">((D39-C39)/C39)*100</f>
        <v>34.983713556394221</v>
      </c>
      <c r="F39" s="12">
        <f>F40+F41+F42+F43+F44</f>
        <v>318.0046789404625</v>
      </c>
      <c r="G39" s="12">
        <f>G40+G41+G42+G43+G44</f>
        <v>378.95162083903864</v>
      </c>
      <c r="H39" s="110">
        <f t="shared" ref="H39:H44" si="41">((G39-F39)/F39)*100</f>
        <v>19.165423006240346</v>
      </c>
      <c r="I39" s="111">
        <f>(G39/G$179)*100</f>
        <v>0.28712395219428299</v>
      </c>
      <c r="J39" s="22">
        <f>J40+J41+J42+J43+J44</f>
        <v>8965</v>
      </c>
      <c r="K39" s="22">
        <f>K40+K41+K42+K43+K44</f>
        <v>10948</v>
      </c>
      <c r="L39" s="110">
        <f t="shared" ref="L39:L44" si="42">((K39-J39)/J39)*100</f>
        <v>22.119353039598437</v>
      </c>
      <c r="M39" s="22">
        <f>M40+M41+M42+M43+M44</f>
        <v>48101</v>
      </c>
      <c r="N39" s="22">
        <f>N40+N41+N42+N43+N44</f>
        <v>50310</v>
      </c>
      <c r="O39" s="110">
        <f t="shared" ref="O39:O44" si="43">((N39-M39)/M39)*100</f>
        <v>4.5924201160059042</v>
      </c>
      <c r="P39" s="111">
        <f>(N39/N$179)*100</f>
        <v>0.483924585100317</v>
      </c>
      <c r="Q39" s="22">
        <f>Q40+Q41+Q42+Q43+Q44</f>
        <v>189416</v>
      </c>
      <c r="R39" s="22">
        <f>R40+R41+R42+R43+R44</f>
        <v>20745</v>
      </c>
      <c r="S39" s="110">
        <f t="shared" ref="S39:S44" si="44">((R39-Q39)/Q39)*100</f>
        <v>-89.047915698779406</v>
      </c>
      <c r="T39" s="22">
        <f>T40+T41+T42+T43+T44</f>
        <v>1050827</v>
      </c>
      <c r="U39" s="22">
        <f>U40+U41+U42+U43+U44</f>
        <v>241469</v>
      </c>
      <c r="V39" s="110">
        <f t="shared" ref="V39:V44" si="45">((U39-T39)/T39)*100</f>
        <v>-77.021051038848455</v>
      </c>
      <c r="W39" s="111">
        <f>(U39/U$179)*100</f>
        <v>0.30414794546878204</v>
      </c>
      <c r="X39" s="12">
        <f>X40+X41+X42+X43+X44</f>
        <v>5569.8593874000035</v>
      </c>
      <c r="Y39" s="12">
        <f>Y40+Y41+Y42+Y43+Y44</f>
        <v>2312.8028793839999</v>
      </c>
      <c r="Z39" s="110">
        <f t="shared" ref="Z39:Z44" si="46">((Y39-X39)/X39)*100</f>
        <v>-58.476458407263124</v>
      </c>
      <c r="AA39" s="12">
        <f>AA40+AA41+AA42+AA43+AA44</f>
        <v>28136.838700257002</v>
      </c>
      <c r="AB39" s="12">
        <f>AB40+AB41+AB42+AB43+AB44</f>
        <v>15834.246520005001</v>
      </c>
      <c r="AC39" s="110">
        <f t="shared" ref="AC39:AC44" si="47">((AB39-AA39)/AA39)*100</f>
        <v>-43.724145101416916</v>
      </c>
      <c r="AD39" s="111">
        <f>(AB39/AB$179)*100</f>
        <v>0.62086580565092531</v>
      </c>
    </row>
    <row r="40" spans="1:30">
      <c r="A40" s="5"/>
      <c r="B40" s="108" t="s">
        <v>3</v>
      </c>
      <c r="C40" s="15">
        <v>8.9715709299999951</v>
      </c>
      <c r="D40" s="11">
        <v>6.1451389989999985</v>
      </c>
      <c r="E40" s="114">
        <f t="shared" si="40"/>
        <v>-31.504314607252383</v>
      </c>
      <c r="F40" s="15">
        <v>66.670850614000003</v>
      </c>
      <c r="G40" s="11">
        <v>30.290769039999997</v>
      </c>
      <c r="H40" s="114">
        <f t="shared" si="41"/>
        <v>-54.566697798153882</v>
      </c>
      <c r="I40" s="115">
        <f>(G40/G$180)*100</f>
        <v>0.17427677761948224</v>
      </c>
      <c r="J40" s="103">
        <v>279</v>
      </c>
      <c r="K40" s="103">
        <v>53</v>
      </c>
      <c r="L40" s="114">
        <f t="shared" si="42"/>
        <v>-81.003584229390682</v>
      </c>
      <c r="M40" s="103">
        <v>2530</v>
      </c>
      <c r="N40" s="103">
        <v>220</v>
      </c>
      <c r="O40" s="114">
        <f t="shared" si="43"/>
        <v>-91.304347826086953</v>
      </c>
      <c r="P40" s="115">
        <f>(N40/N$180)*100</f>
        <v>4.3364450611832979E-2</v>
      </c>
      <c r="Q40" s="103">
        <v>0</v>
      </c>
      <c r="R40" s="103">
        <v>0</v>
      </c>
      <c r="S40" s="106" t="s">
        <v>57</v>
      </c>
      <c r="T40" s="103">
        <v>0</v>
      </c>
      <c r="U40" s="103">
        <v>0</v>
      </c>
      <c r="V40" s="106" t="s">
        <v>57</v>
      </c>
      <c r="W40" s="106" t="s">
        <v>57</v>
      </c>
      <c r="X40" s="15">
        <v>61.856017600000051</v>
      </c>
      <c r="Y40" s="15">
        <v>21.187898500000006</v>
      </c>
      <c r="Z40" s="114">
        <f t="shared" si="46"/>
        <v>-65.746423190360716</v>
      </c>
      <c r="AA40" s="15">
        <v>453.70336470000001</v>
      </c>
      <c r="AB40" s="15">
        <v>73.276238100000015</v>
      </c>
      <c r="AC40" s="114">
        <f t="shared" si="47"/>
        <v>-83.849306881721702</v>
      </c>
      <c r="AD40" s="115">
        <f>(AB40/AB$180)*100</f>
        <v>0.39539069515943487</v>
      </c>
    </row>
    <row r="41" spans="1:30">
      <c r="A41" s="5"/>
      <c r="B41" s="108" t="s">
        <v>4</v>
      </c>
      <c r="C41" s="15">
        <v>41.921049046132964</v>
      </c>
      <c r="D41" s="11">
        <v>65.080365560208151</v>
      </c>
      <c r="E41" s="114">
        <f t="shared" si="40"/>
        <v>55.245078644355949</v>
      </c>
      <c r="F41" s="15">
        <v>202.03682839041295</v>
      </c>
      <c r="G41" s="11">
        <v>274.43559322703851</v>
      </c>
      <c r="H41" s="114">
        <f t="shared" si="41"/>
        <v>35.834439400683557</v>
      </c>
      <c r="I41" s="115">
        <f>(G41/G$181)*100</f>
        <v>0.85203566854342183</v>
      </c>
      <c r="J41" s="103">
        <v>8684</v>
      </c>
      <c r="K41" s="103">
        <v>10893</v>
      </c>
      <c r="L41" s="114">
        <f t="shared" si="42"/>
        <v>25.43758636573008</v>
      </c>
      <c r="M41" s="103">
        <v>45561</v>
      </c>
      <c r="N41" s="103">
        <v>50083</v>
      </c>
      <c r="O41" s="114">
        <f t="shared" si="43"/>
        <v>9.9251552863194394</v>
      </c>
      <c r="P41" s="115">
        <f>(N41/N$181)*100</f>
        <v>0.50722961460150429</v>
      </c>
      <c r="Q41" s="103">
        <v>0</v>
      </c>
      <c r="R41" s="103">
        <v>0</v>
      </c>
      <c r="S41" s="106" t="s">
        <v>57</v>
      </c>
      <c r="T41" s="103">
        <v>0</v>
      </c>
      <c r="U41" s="103">
        <v>0</v>
      </c>
      <c r="V41" s="106" t="s">
        <v>57</v>
      </c>
      <c r="W41" s="106" t="s">
        <v>57</v>
      </c>
      <c r="X41" s="15">
        <v>1157.6416141999998</v>
      </c>
      <c r="Y41" s="15">
        <v>1505.2470943999997</v>
      </c>
      <c r="Z41" s="114">
        <f t="shared" si="46"/>
        <v>30.027037378076312</v>
      </c>
      <c r="AA41" s="15">
        <v>4651.0991691999989</v>
      </c>
      <c r="AB41" s="15">
        <v>8149.4090640000013</v>
      </c>
      <c r="AC41" s="114">
        <f t="shared" si="47"/>
        <v>75.214691571534914</v>
      </c>
      <c r="AD41" s="115">
        <f>(AB41/AB$181)*100</f>
        <v>1.0023074998189199</v>
      </c>
    </row>
    <row r="42" spans="1:30" ht="14.25" customHeight="1">
      <c r="A42" s="5"/>
      <c r="B42" s="108" t="s">
        <v>5</v>
      </c>
      <c r="C42" s="15">
        <v>10.448302358002511</v>
      </c>
      <c r="D42" s="11">
        <v>13.353244204999983</v>
      </c>
      <c r="E42" s="114">
        <f t="shared" si="40"/>
        <v>27.803003277106864</v>
      </c>
      <c r="F42" s="15">
        <v>47.603570701052604</v>
      </c>
      <c r="G42" s="11">
        <v>73.44721649799996</v>
      </c>
      <c r="H42" s="114">
        <f t="shared" si="41"/>
        <v>54.289301025849113</v>
      </c>
      <c r="I42" s="115">
        <f>(G42/G$182)*100</f>
        <v>9.4689632471378821E-2</v>
      </c>
      <c r="J42" s="103">
        <v>-1</v>
      </c>
      <c r="K42" s="103">
        <v>0</v>
      </c>
      <c r="L42" s="114">
        <f t="shared" si="42"/>
        <v>-100</v>
      </c>
      <c r="M42" s="103">
        <v>7</v>
      </c>
      <c r="N42" s="103">
        <v>5</v>
      </c>
      <c r="O42" s="114">
        <f t="shared" si="43"/>
        <v>-28.571428571428569</v>
      </c>
      <c r="P42" s="115">
        <f>(N42/N$182)*100</f>
        <v>0.85324232081911267</v>
      </c>
      <c r="Q42" s="103">
        <v>-833151</v>
      </c>
      <c r="R42" s="103">
        <v>5852</v>
      </c>
      <c r="S42" s="114">
        <f t="shared" si="44"/>
        <v>-100.70239368373801</v>
      </c>
      <c r="T42" s="103">
        <v>28260</v>
      </c>
      <c r="U42" s="103">
        <v>37222</v>
      </c>
      <c r="V42" s="114">
        <f t="shared" si="45"/>
        <v>31.712668082094837</v>
      </c>
      <c r="W42" s="115">
        <f>(U42/U$182)*100</f>
        <v>8.140811410695975E-2</v>
      </c>
      <c r="X42" s="15">
        <v>-16020.608244399999</v>
      </c>
      <c r="Y42" s="15">
        <v>703.78588648400012</v>
      </c>
      <c r="Z42" s="114">
        <f t="shared" si="46"/>
        <v>-104.39300353486898</v>
      </c>
      <c r="AA42" s="15">
        <v>2661.0661663570022</v>
      </c>
      <c r="AB42" s="15">
        <v>3765.2392179050007</v>
      </c>
      <c r="AC42" s="114">
        <f t="shared" si="47"/>
        <v>41.493633849007622</v>
      </c>
      <c r="AD42" s="115">
        <f>(AB42/AB$182)*100</f>
        <v>0.67767473826468805</v>
      </c>
    </row>
    <row r="43" spans="1:30">
      <c r="A43" s="5"/>
      <c r="B43" s="108" t="s">
        <v>6</v>
      </c>
      <c r="C43" s="15">
        <v>0</v>
      </c>
      <c r="D43" s="11">
        <v>0</v>
      </c>
      <c r="E43" s="106" t="s">
        <v>57</v>
      </c>
      <c r="F43" s="15">
        <v>0</v>
      </c>
      <c r="G43" s="11">
        <v>0</v>
      </c>
      <c r="H43" s="106" t="s">
        <v>57</v>
      </c>
      <c r="I43" s="115">
        <f>(G43/G$183)*100</f>
        <v>0</v>
      </c>
      <c r="J43" s="103">
        <v>0</v>
      </c>
      <c r="K43" s="103">
        <v>0</v>
      </c>
      <c r="L43" s="106" t="s">
        <v>57</v>
      </c>
      <c r="M43" s="103">
        <v>0</v>
      </c>
      <c r="N43" s="103">
        <v>0</v>
      </c>
      <c r="O43" s="106" t="s">
        <v>57</v>
      </c>
      <c r="P43" s="115">
        <f>(N43/N$183)*100</f>
        <v>0</v>
      </c>
      <c r="Q43" s="103">
        <v>0</v>
      </c>
      <c r="R43" s="103">
        <v>0</v>
      </c>
      <c r="S43" s="106" t="s">
        <v>57</v>
      </c>
      <c r="T43" s="103">
        <v>0</v>
      </c>
      <c r="U43" s="103">
        <v>0</v>
      </c>
      <c r="V43" s="106" t="s">
        <v>57</v>
      </c>
      <c r="W43" s="115">
        <f>(U43/U$183)*100</f>
        <v>0</v>
      </c>
      <c r="X43" s="15">
        <v>0</v>
      </c>
      <c r="Y43" s="15">
        <v>0</v>
      </c>
      <c r="Z43" s="106" t="s">
        <v>57</v>
      </c>
      <c r="AA43" s="15">
        <v>0</v>
      </c>
      <c r="AB43" s="15">
        <v>0</v>
      </c>
      <c r="AC43" s="106" t="s">
        <v>57</v>
      </c>
      <c r="AD43" s="115">
        <f>(AB43/AB$183)*100</f>
        <v>0</v>
      </c>
    </row>
    <row r="44" spans="1:30">
      <c r="A44" s="5"/>
      <c r="B44" s="108" t="s">
        <v>25</v>
      </c>
      <c r="C44" s="15">
        <v>1.6934292349969076</v>
      </c>
      <c r="D44" s="11">
        <v>0.50735979999999747</v>
      </c>
      <c r="E44" s="114">
        <f t="shared" si="40"/>
        <v>-70.039503894538342</v>
      </c>
      <c r="F44" s="15">
        <v>1.6934292349969076</v>
      </c>
      <c r="G44" s="11">
        <v>0.77804207400020264</v>
      </c>
      <c r="H44" s="114">
        <f t="shared" si="41"/>
        <v>-54.055235499603057</v>
      </c>
      <c r="I44" s="115">
        <f>(G44/G$184)*100</f>
        <v>1.9990277639198667E-2</v>
      </c>
      <c r="J44" s="103">
        <v>3</v>
      </c>
      <c r="K44" s="103">
        <v>2</v>
      </c>
      <c r="L44" s="114">
        <f t="shared" si="42"/>
        <v>-33.333333333333329</v>
      </c>
      <c r="M44" s="103">
        <v>3</v>
      </c>
      <c r="N44" s="103">
        <v>2</v>
      </c>
      <c r="O44" s="114">
        <f t="shared" si="43"/>
        <v>-33.333333333333329</v>
      </c>
      <c r="P44" s="115">
        <f>(N44/N$184)*100</f>
        <v>1.8024513338139869E-2</v>
      </c>
      <c r="Q44" s="103">
        <v>1022567</v>
      </c>
      <c r="R44" s="103">
        <v>14893</v>
      </c>
      <c r="S44" s="114">
        <f t="shared" si="44"/>
        <v>-98.543567316371451</v>
      </c>
      <c r="T44" s="103">
        <v>1022567</v>
      </c>
      <c r="U44" s="103">
        <v>204247</v>
      </c>
      <c r="V44" s="114">
        <f t="shared" si="45"/>
        <v>-80.026052082650821</v>
      </c>
      <c r="W44" s="115">
        <f>(U44/U$184)*100</f>
        <v>0.64528619645100338</v>
      </c>
      <c r="X44" s="15">
        <v>20370.97</v>
      </c>
      <c r="Y44" s="15">
        <v>82.582000000000008</v>
      </c>
      <c r="Z44" s="114">
        <f t="shared" si="46"/>
        <v>-99.594609387770944</v>
      </c>
      <c r="AA44" s="15">
        <v>20370.97</v>
      </c>
      <c r="AB44" s="15">
        <v>3846.3220000000001</v>
      </c>
      <c r="AC44" s="114">
        <f t="shared" si="47"/>
        <v>-81.118611435783379</v>
      </c>
      <c r="AD44" s="115">
        <f>(AB44/AB$184)*100</f>
        <v>0.37789493223975912</v>
      </c>
    </row>
    <row r="45" spans="1:30">
      <c r="A45" s="5"/>
      <c r="B45" s="108"/>
      <c r="C45" s="15"/>
      <c r="D45" s="11"/>
      <c r="E45" s="114"/>
      <c r="F45" s="15"/>
      <c r="G45" s="11"/>
      <c r="H45" s="114"/>
      <c r="I45" s="115"/>
      <c r="J45" s="103"/>
      <c r="K45" s="103"/>
      <c r="L45" s="114"/>
      <c r="M45" s="103"/>
      <c r="N45" s="103"/>
      <c r="O45" s="114"/>
      <c r="P45" s="115"/>
      <c r="Q45" s="103"/>
      <c r="R45" s="103"/>
      <c r="S45" s="114"/>
      <c r="T45" s="103"/>
      <c r="U45" s="103"/>
      <c r="V45" s="114"/>
      <c r="W45" s="115"/>
      <c r="X45" s="15"/>
      <c r="Y45" s="15"/>
      <c r="Z45" s="114"/>
      <c r="AA45" s="15"/>
      <c r="AB45" s="15"/>
      <c r="AC45" s="114"/>
      <c r="AD45" s="115"/>
    </row>
    <row r="46" spans="1:30" s="24" customFormat="1" ht="15">
      <c r="A46" s="16">
        <v>7</v>
      </c>
      <c r="B46" s="107" t="s">
        <v>18</v>
      </c>
      <c r="C46" s="12">
        <f>C47+C48+C49+C50+C51</f>
        <v>182.52828865599992</v>
      </c>
      <c r="D46" s="12">
        <f>D47+D48+D49+D50+D51</f>
        <v>243.80065988299992</v>
      </c>
      <c r="E46" s="110">
        <f t="shared" ref="E46:E51" si="48">((D46-C46)/C46)*100</f>
        <v>33.56869868126379</v>
      </c>
      <c r="F46" s="12">
        <f>F47+F48+F49+F50+F51</f>
        <v>971.1163429411904</v>
      </c>
      <c r="G46" s="12">
        <f>G47+G48+G49+G50+G51</f>
        <v>1333.5275829509997</v>
      </c>
      <c r="H46" s="110">
        <f t="shared" ref="H46:H51" si="49">((G46-F46)/F46)*100</f>
        <v>37.319034186180552</v>
      </c>
      <c r="I46" s="111">
        <f>(G46/G$179)*100</f>
        <v>1.0103867853348325</v>
      </c>
      <c r="J46" s="22">
        <f>J47+J48+J49+J50+J51</f>
        <v>18051</v>
      </c>
      <c r="K46" s="22">
        <f>K47+K48+K49+K50+K51</f>
        <v>19024</v>
      </c>
      <c r="L46" s="110">
        <f t="shared" ref="L46:L51" si="50">((K46-J46)/J46)*100</f>
        <v>5.3902830868095952</v>
      </c>
      <c r="M46" s="22">
        <f>M47+M48+M49+M50+M51</f>
        <v>70243</v>
      </c>
      <c r="N46" s="22">
        <f>N47+N48+N49+N50+N51</f>
        <v>67529</v>
      </c>
      <c r="O46" s="110">
        <f t="shared" ref="O46:O51" si="51">((N46-M46)/M46)*100</f>
        <v>-3.8637301937559614</v>
      </c>
      <c r="P46" s="111">
        <f>(N46/N$179)*100</f>
        <v>0.64955164593995829</v>
      </c>
      <c r="Q46" s="22">
        <f>Q47+Q48+Q49+Q50+Q51</f>
        <v>71426</v>
      </c>
      <c r="R46" s="22">
        <f>R47+R48+R49+R50+R51</f>
        <v>33795</v>
      </c>
      <c r="S46" s="110">
        <f t="shared" ref="S46:S51" si="52">((R46-Q46)/Q46)*100</f>
        <v>-52.685296670680145</v>
      </c>
      <c r="T46" s="22">
        <f>T47+T48+T49+T50+T51</f>
        <v>4189000</v>
      </c>
      <c r="U46" s="22">
        <f>U47+U48+U49+U50+U51</f>
        <v>3632698</v>
      </c>
      <c r="V46" s="110">
        <f t="shared" ref="V46:V51" si="53">((U46-T46)/T46)*100</f>
        <v>-13.280066841728337</v>
      </c>
      <c r="W46" s="111">
        <f>(U46/U$179)*100</f>
        <v>4.5756500139088399</v>
      </c>
      <c r="X46" s="12">
        <f>X47+X48+X49+X50+X51</f>
        <v>6787.4684441099143</v>
      </c>
      <c r="Y46" s="12">
        <f>Y47+Y48+Y49+Y50+Y51</f>
        <v>3751.7767977630001</v>
      </c>
      <c r="Z46" s="110">
        <f t="shared" ref="Z46:Z51" si="54">((Y46-X46)/X46)*100</f>
        <v>-44.724946735940293</v>
      </c>
      <c r="AA46" s="12">
        <f>AA47+AA48+AA49+AA50+AA51</f>
        <v>117021.25998938487</v>
      </c>
      <c r="AB46" s="12">
        <f>AB47+AB48+AB49+AB50+AB51</f>
        <v>90371.599636168001</v>
      </c>
      <c r="AC46" s="110">
        <f t="shared" ref="AC46:AC51" si="55">((AB46-AA46)/AA46)*100</f>
        <v>-22.77334935176248</v>
      </c>
      <c r="AD46" s="111">
        <f>(AB46/AB$179)*100</f>
        <v>3.5434989562139649</v>
      </c>
    </row>
    <row r="47" spans="1:30">
      <c r="A47" s="5"/>
      <c r="B47" s="108" t="s">
        <v>3</v>
      </c>
      <c r="C47" s="15">
        <v>56.611670022999952</v>
      </c>
      <c r="D47" s="11">
        <v>51.71769954399997</v>
      </c>
      <c r="E47" s="114">
        <f t="shared" si="48"/>
        <v>-8.6448085297813702</v>
      </c>
      <c r="F47" s="15">
        <v>216.14957119499908</v>
      </c>
      <c r="G47" s="11">
        <v>182.72417482700001</v>
      </c>
      <c r="H47" s="114">
        <f t="shared" si="49"/>
        <v>-15.464012342566431</v>
      </c>
      <c r="I47" s="115">
        <f>(G47/G$180)*100</f>
        <v>1.0512965299750765</v>
      </c>
      <c r="J47" s="103">
        <v>382</v>
      </c>
      <c r="K47" s="103">
        <v>378</v>
      </c>
      <c r="L47" s="114">
        <f t="shared" si="50"/>
        <v>-1.0471204188481675</v>
      </c>
      <c r="M47" s="103">
        <v>2007</v>
      </c>
      <c r="N47" s="103">
        <v>1704</v>
      </c>
      <c r="O47" s="114">
        <f t="shared" si="51"/>
        <v>-15.097159940209268</v>
      </c>
      <c r="P47" s="115">
        <f>(N47/N$180)*100</f>
        <v>0.33587738110256088</v>
      </c>
      <c r="Q47" s="103">
        <v>0</v>
      </c>
      <c r="R47" s="103">
        <v>0</v>
      </c>
      <c r="S47" s="106" t="s">
        <v>57</v>
      </c>
      <c r="T47" s="103">
        <v>0</v>
      </c>
      <c r="U47" s="103">
        <v>0</v>
      </c>
      <c r="V47" s="106" t="s">
        <v>57</v>
      </c>
      <c r="W47" s="106" t="s">
        <v>57</v>
      </c>
      <c r="X47" s="15">
        <v>65.922616109999865</v>
      </c>
      <c r="Y47" s="15">
        <v>55.607839383000197</v>
      </c>
      <c r="Z47" s="114">
        <f t="shared" si="54"/>
        <v>-15.646795190573465</v>
      </c>
      <c r="AA47" s="15">
        <v>234.90073378499883</v>
      </c>
      <c r="AB47" s="15">
        <v>206.55887864800002</v>
      </c>
      <c r="AC47" s="114">
        <f t="shared" si="55"/>
        <v>-12.065460452303098</v>
      </c>
      <c r="AD47" s="115">
        <f>(AB47/AB$180)*100</f>
        <v>1.1145694803345267</v>
      </c>
    </row>
    <row r="48" spans="1:30">
      <c r="A48" s="5"/>
      <c r="B48" s="108" t="s">
        <v>4</v>
      </c>
      <c r="C48" s="15">
        <v>84.236092419999949</v>
      </c>
      <c r="D48" s="11">
        <v>128.35722118699996</v>
      </c>
      <c r="E48" s="114">
        <f t="shared" si="48"/>
        <v>52.377938600253081</v>
      </c>
      <c r="F48" s="15">
        <v>287.92428473100489</v>
      </c>
      <c r="G48" s="11">
        <v>455.5203311399996</v>
      </c>
      <c r="H48" s="114">
        <f t="shared" si="49"/>
        <v>58.208374665434135</v>
      </c>
      <c r="I48" s="115">
        <f>(G48/G$181)*100</f>
        <v>1.4142464733315478</v>
      </c>
      <c r="J48" s="103">
        <v>17663</v>
      </c>
      <c r="K48" s="103">
        <v>18642</v>
      </c>
      <c r="L48" s="114">
        <f t="shared" si="50"/>
        <v>5.5426597973164249</v>
      </c>
      <c r="M48" s="103">
        <v>68200</v>
      </c>
      <c r="N48" s="103">
        <v>65778</v>
      </c>
      <c r="O48" s="114">
        <f t="shared" si="51"/>
        <v>-3.5513196480938416</v>
      </c>
      <c r="P48" s="115">
        <f>(N48/N$181)*100</f>
        <v>0.66618512447852063</v>
      </c>
      <c r="Q48" s="103">
        <v>0</v>
      </c>
      <c r="R48" s="103">
        <v>0</v>
      </c>
      <c r="S48" s="106" t="s">
        <v>57</v>
      </c>
      <c r="T48" s="103">
        <v>0</v>
      </c>
      <c r="U48" s="103">
        <v>0</v>
      </c>
      <c r="V48" s="106" t="s">
        <v>57</v>
      </c>
      <c r="W48" s="106" t="s">
        <v>57</v>
      </c>
      <c r="X48" s="15">
        <v>2372.034831599914</v>
      </c>
      <c r="Y48" s="15">
        <v>1288.8670141800003</v>
      </c>
      <c r="Z48" s="114">
        <f t="shared" si="54"/>
        <v>-45.66407722981571</v>
      </c>
      <c r="AA48" s="15">
        <v>12683.881868999892</v>
      </c>
      <c r="AB48" s="15">
        <v>7557.9786049200011</v>
      </c>
      <c r="AC48" s="114">
        <f t="shared" si="55"/>
        <v>-40.412732608365594</v>
      </c>
      <c r="AD48" s="115">
        <f>(AB48/AB$181)*100</f>
        <v>0.92956662006901236</v>
      </c>
    </row>
    <row r="49" spans="1:30">
      <c r="A49" s="5"/>
      <c r="B49" s="108" t="s">
        <v>5</v>
      </c>
      <c r="C49" s="15">
        <v>39.504946802999996</v>
      </c>
      <c r="D49" s="11">
        <v>62.922560441999991</v>
      </c>
      <c r="E49" s="114">
        <f t="shared" si="48"/>
        <v>59.277674149966629</v>
      </c>
      <c r="F49" s="15">
        <v>337.80187026325422</v>
      </c>
      <c r="G49" s="11">
        <v>591.33123434799995</v>
      </c>
      <c r="H49" s="114">
        <f t="shared" si="49"/>
        <v>75.052682179398943</v>
      </c>
      <c r="I49" s="115">
        <f>(G49/G$182)*100</f>
        <v>0.76235615070291518</v>
      </c>
      <c r="J49" s="103">
        <v>1</v>
      </c>
      <c r="K49" s="103">
        <v>1</v>
      </c>
      <c r="L49" s="114">
        <f t="shared" si="50"/>
        <v>0</v>
      </c>
      <c r="M49" s="103">
        <v>3</v>
      </c>
      <c r="N49" s="103">
        <v>3</v>
      </c>
      <c r="O49" s="114">
        <f t="shared" si="51"/>
        <v>0</v>
      </c>
      <c r="P49" s="115">
        <f>(N49/N$182)*100</f>
        <v>0.51194539249146753</v>
      </c>
      <c r="Q49" s="103">
        <v>4443</v>
      </c>
      <c r="R49" s="103">
        <v>5593</v>
      </c>
      <c r="S49" s="114">
        <f t="shared" si="52"/>
        <v>25.883412108935406</v>
      </c>
      <c r="T49" s="103">
        <v>17246</v>
      </c>
      <c r="U49" s="103">
        <v>55716</v>
      </c>
      <c r="V49" s="114">
        <f t="shared" si="53"/>
        <v>223.06621825350805</v>
      </c>
      <c r="W49" s="115">
        <f>(U49/U$182)*100</f>
        <v>0.12185628084421497</v>
      </c>
      <c r="X49" s="15">
        <v>482.60124849999994</v>
      </c>
      <c r="Y49" s="15">
        <v>1179.8926156</v>
      </c>
      <c r="Z49" s="114">
        <f t="shared" si="54"/>
        <v>144.48602635556594</v>
      </c>
      <c r="AA49" s="15">
        <v>1696.6407794999998</v>
      </c>
      <c r="AB49" s="15">
        <v>4118.6263383000005</v>
      </c>
      <c r="AC49" s="114">
        <f t="shared" si="55"/>
        <v>142.75181806686035</v>
      </c>
      <c r="AD49" s="115">
        <f>(AB49/AB$182)*100</f>
        <v>0.741278007661484</v>
      </c>
    </row>
    <row r="50" spans="1:30">
      <c r="A50" s="5"/>
      <c r="B50" s="108" t="s">
        <v>6</v>
      </c>
      <c r="C50" s="117">
        <v>0.34542672000000002</v>
      </c>
      <c r="D50" s="11">
        <v>0.11527856099999999</v>
      </c>
      <c r="E50" s="114">
        <f t="shared" si="48"/>
        <v>-66.627202145798108</v>
      </c>
      <c r="F50" s="13">
        <v>1.5652406469322031</v>
      </c>
      <c r="G50" s="11">
        <v>1.0992810630000001</v>
      </c>
      <c r="H50" s="114">
        <f t="shared" si="49"/>
        <v>-29.769197780894686</v>
      </c>
      <c r="I50" s="115">
        <f>(G50/G$183)*100</f>
        <v>0.11778745317097061</v>
      </c>
      <c r="J50" s="118">
        <v>0</v>
      </c>
      <c r="K50" s="118">
        <v>0</v>
      </c>
      <c r="L50" s="106" t="s">
        <v>57</v>
      </c>
      <c r="M50" s="118">
        <v>0</v>
      </c>
      <c r="N50" s="118">
        <v>0</v>
      </c>
      <c r="O50" s="106" t="s">
        <v>57</v>
      </c>
      <c r="P50" s="115">
        <f>(N50/N$183)*100</f>
        <v>0</v>
      </c>
      <c r="Q50" s="118">
        <v>420</v>
      </c>
      <c r="R50" s="118">
        <v>113</v>
      </c>
      <c r="S50" s="114">
        <f t="shared" si="52"/>
        <v>-73.095238095238088</v>
      </c>
      <c r="T50" s="118">
        <v>1972</v>
      </c>
      <c r="U50" s="118">
        <v>1080</v>
      </c>
      <c r="V50" s="114">
        <f t="shared" si="53"/>
        <v>-45.233265720081135</v>
      </c>
      <c r="W50" s="115">
        <f>(U50/U$183)*100</f>
        <v>5.3542665324133917E-2</v>
      </c>
      <c r="X50" s="117">
        <v>94.467113900000001</v>
      </c>
      <c r="Y50" s="117">
        <v>30.579380099999998</v>
      </c>
      <c r="Z50" s="114">
        <f t="shared" si="54"/>
        <v>-67.629602686528145</v>
      </c>
      <c r="AA50" s="13">
        <v>440.17613109999996</v>
      </c>
      <c r="AB50" s="13">
        <v>281.62059340000002</v>
      </c>
      <c r="AC50" s="114">
        <f t="shared" si="55"/>
        <v>-36.020930372523772</v>
      </c>
      <c r="AD50" s="115">
        <f>(AB50/AB$183)*100</f>
        <v>0.19380420461180578</v>
      </c>
    </row>
    <row r="51" spans="1:30">
      <c r="A51" s="5"/>
      <c r="B51" s="108" t="s">
        <v>25</v>
      </c>
      <c r="C51" s="15">
        <v>1.8301526900000002</v>
      </c>
      <c r="D51" s="11">
        <v>0.68790014900000007</v>
      </c>
      <c r="E51" s="114">
        <f t="shared" si="48"/>
        <v>-62.412964078969821</v>
      </c>
      <c r="F51" s="15">
        <v>127.67537610500001</v>
      </c>
      <c r="G51" s="11">
        <v>102.85256157299993</v>
      </c>
      <c r="H51" s="114">
        <f t="shared" si="49"/>
        <v>-19.442131512959744</v>
      </c>
      <c r="I51" s="115">
        <f>(G51/G$184)*100</f>
        <v>2.6425965001816971</v>
      </c>
      <c r="J51" s="103">
        <v>5</v>
      </c>
      <c r="K51" s="103">
        <v>3</v>
      </c>
      <c r="L51" s="114">
        <f t="shared" si="50"/>
        <v>-40</v>
      </c>
      <c r="M51" s="103">
        <v>33</v>
      </c>
      <c r="N51" s="103">
        <v>44</v>
      </c>
      <c r="O51" s="114">
        <f t="shared" si="51"/>
        <v>33.333333333333329</v>
      </c>
      <c r="P51" s="115">
        <f>(N51/N$184)*100</f>
        <v>0.39653929343907712</v>
      </c>
      <c r="Q51" s="103">
        <v>66563</v>
      </c>
      <c r="R51" s="103">
        <v>28089</v>
      </c>
      <c r="S51" s="114">
        <f t="shared" si="52"/>
        <v>-57.80088036897375</v>
      </c>
      <c r="T51" s="103">
        <v>4169782</v>
      </c>
      <c r="U51" s="103">
        <v>3575902</v>
      </c>
      <c r="V51" s="114">
        <f t="shared" si="53"/>
        <v>-14.242471189141304</v>
      </c>
      <c r="W51" s="115">
        <f>(U51/U$184)*100</f>
        <v>11.297498619130444</v>
      </c>
      <c r="X51" s="15">
        <v>3772.4426339999995</v>
      </c>
      <c r="Y51" s="15">
        <v>1196.8299485</v>
      </c>
      <c r="Z51" s="114">
        <f t="shared" si="54"/>
        <v>-68.274402963393072</v>
      </c>
      <c r="AA51" s="15">
        <v>101965.66047599998</v>
      </c>
      <c r="AB51" s="15">
        <v>78206.815220899996</v>
      </c>
      <c r="AC51" s="114">
        <f t="shared" si="55"/>
        <v>-23.300830048261378</v>
      </c>
      <c r="AD51" s="115">
        <f>(AB51/AB$184)*100</f>
        <v>7.6836934449558223</v>
      </c>
    </row>
    <row r="52" spans="1:30">
      <c r="A52" s="5"/>
      <c r="B52" s="25"/>
      <c r="C52" s="15"/>
      <c r="D52" s="11"/>
      <c r="E52" s="114"/>
      <c r="F52" s="15"/>
      <c r="G52" s="11"/>
      <c r="H52" s="114"/>
      <c r="I52" s="115"/>
      <c r="J52" s="103"/>
      <c r="K52" s="103"/>
      <c r="L52" s="114"/>
      <c r="M52" s="103"/>
      <c r="N52" s="103"/>
      <c r="O52" s="114"/>
      <c r="P52" s="115"/>
      <c r="Q52" s="103"/>
      <c r="R52" s="103"/>
      <c r="S52" s="114"/>
      <c r="T52" s="103"/>
      <c r="U52" s="103"/>
      <c r="V52" s="114"/>
      <c r="W52" s="115"/>
      <c r="X52" s="15"/>
      <c r="Y52" s="15"/>
      <c r="Z52" s="114"/>
      <c r="AA52" s="15"/>
      <c r="AB52" s="15"/>
      <c r="AC52" s="114"/>
      <c r="AD52" s="115"/>
    </row>
    <row r="53" spans="1:30" s="24" customFormat="1" ht="15">
      <c r="A53" s="16">
        <v>8</v>
      </c>
      <c r="B53" s="107" t="s">
        <v>59</v>
      </c>
      <c r="C53" s="12">
        <f>C54+C55+C56+C57+C58</f>
        <v>38.522589344999844</v>
      </c>
      <c r="D53" s="12">
        <f>D54+D55+D56+D57+D58</f>
        <v>45.717904181000563</v>
      </c>
      <c r="E53" s="110">
        <f t="shared" ref="E53:E58" si="56">((D53-C53)/C53)*100</f>
        <v>18.6781702848712</v>
      </c>
      <c r="F53" s="12">
        <f>F54+F55+F56+F57+F58</f>
        <v>160.36974853200374</v>
      </c>
      <c r="G53" s="12">
        <f>G54+G55+G56+G57+G58</f>
        <v>179.04901474199508</v>
      </c>
      <c r="H53" s="110">
        <f t="shared" ref="H53:H58" si="57">((G53-F53)/F53)*100</f>
        <v>11.647624555739492</v>
      </c>
      <c r="I53" s="111">
        <f>(G53/G$179)*100</f>
        <v>0.1356618046266396</v>
      </c>
      <c r="J53" s="22">
        <f>J54+J55+J56+J57+J58</f>
        <v>6560</v>
      </c>
      <c r="K53" s="22">
        <f>K54+K55+K56+K57+K58</f>
        <v>5120</v>
      </c>
      <c r="L53" s="110">
        <f t="shared" ref="L53:L58" si="58">((K53-J53)/J53)*100</f>
        <v>-21.951219512195124</v>
      </c>
      <c r="M53" s="22">
        <f>M54+M55+M56+M57+M58</f>
        <v>35901</v>
      </c>
      <c r="N53" s="22">
        <f>N54+N55+N56+N57+N58</f>
        <v>25715</v>
      </c>
      <c r="O53" s="110">
        <f t="shared" ref="O53:O58" si="59">((N53-M53)/M53)*100</f>
        <v>-28.372468733461464</v>
      </c>
      <c r="P53" s="111">
        <f>(N53/N$179)*100</f>
        <v>0.24734885123940867</v>
      </c>
      <c r="Q53" s="22">
        <f>Q54+Q55+Q56+Q57+Q58</f>
        <v>12125</v>
      </c>
      <c r="R53" s="22">
        <f>R54+R55+R56+R57+R58</f>
        <v>32277</v>
      </c>
      <c r="S53" s="110">
        <f t="shared" ref="S53:S58" si="60">((R53-Q53)/Q53)*100</f>
        <v>166.20206185567011</v>
      </c>
      <c r="T53" s="22">
        <f>T54+T55+T56+T57+T58</f>
        <v>79760</v>
      </c>
      <c r="U53" s="22">
        <f>U54+U55+U56+U57+U58</f>
        <v>128003</v>
      </c>
      <c r="V53" s="110">
        <f t="shared" ref="V53:V58" si="61">((U53-T53)/T53)*100</f>
        <v>60.485205616850557</v>
      </c>
      <c r="W53" s="111">
        <f>(U53/U$179)*100</f>
        <v>0.16122918247824986</v>
      </c>
      <c r="X53" s="12">
        <f>X54+X55+X56+X57+X58</f>
        <v>822.43402719656876</v>
      </c>
      <c r="Y53" s="12">
        <f>Y54+Y55+Y56+Y57+Y58</f>
        <v>1302.3482541158846</v>
      </c>
      <c r="Z53" s="110">
        <f t="shared" ref="Z53:Z58" si="62">((Y53-X53)/X53)*100</f>
        <v>58.352914768762631</v>
      </c>
      <c r="AA53" s="12">
        <f>AA54+AA55+AA56+AA57+AA58</f>
        <v>10328.239924378548</v>
      </c>
      <c r="AB53" s="12">
        <f>AB54+AB55+AB56+AB57+AB58</f>
        <v>7152.1853404066969</v>
      </c>
      <c r="AC53" s="110">
        <f t="shared" ref="AC53:AC58" si="63">((AB53-AA53)/AA53)*100</f>
        <v>-30.751169678728722</v>
      </c>
      <c r="AD53" s="111">
        <f>(AB53/AB$179)*100</f>
        <v>0.2804394454719491</v>
      </c>
    </row>
    <row r="54" spans="1:30">
      <c r="A54" s="5"/>
      <c r="B54" s="108" t="s">
        <v>3</v>
      </c>
      <c r="C54" s="15">
        <v>0.23246739999999999</v>
      </c>
      <c r="D54" s="11">
        <v>1.3230257999999997</v>
      </c>
      <c r="E54" s="114">
        <f t="shared" si="56"/>
        <v>469.12315447241195</v>
      </c>
      <c r="F54" s="15">
        <v>2.7910267909999997</v>
      </c>
      <c r="G54" s="11">
        <v>11.220978599999984</v>
      </c>
      <c r="H54" s="114">
        <f t="shared" si="57"/>
        <v>302.03765281592331</v>
      </c>
      <c r="I54" s="115">
        <f>(G54/G$180)*100</f>
        <v>6.4559469901962152E-2</v>
      </c>
      <c r="J54" s="103">
        <v>4</v>
      </c>
      <c r="K54" s="103">
        <v>23</v>
      </c>
      <c r="L54" s="114">
        <f t="shared" si="58"/>
        <v>475</v>
      </c>
      <c r="M54" s="103">
        <v>59</v>
      </c>
      <c r="N54" s="103">
        <v>474</v>
      </c>
      <c r="O54" s="114">
        <f t="shared" si="59"/>
        <v>703.38983050847457</v>
      </c>
      <c r="P54" s="115">
        <f>(N54/N$180)*100</f>
        <v>9.3430679954585594E-2</v>
      </c>
      <c r="Q54" s="103">
        <v>0</v>
      </c>
      <c r="R54" s="103">
        <v>0</v>
      </c>
      <c r="S54" s="106" t="s">
        <v>57</v>
      </c>
      <c r="T54" s="103">
        <v>0</v>
      </c>
      <c r="U54" s="103">
        <v>0</v>
      </c>
      <c r="V54" s="106" t="s">
        <v>57</v>
      </c>
      <c r="W54" s="106" t="s">
        <v>57</v>
      </c>
      <c r="X54" s="15">
        <v>0.3738032</v>
      </c>
      <c r="Y54" s="15">
        <v>1.4241102999999997</v>
      </c>
      <c r="Z54" s="114">
        <f t="shared" si="62"/>
        <v>280.97862725626743</v>
      </c>
      <c r="AA54" s="15">
        <v>3.9901550999999995</v>
      </c>
      <c r="AB54" s="15">
        <v>17.883685800000038</v>
      </c>
      <c r="AC54" s="114">
        <f t="shared" si="63"/>
        <v>348.19525436492535</v>
      </c>
      <c r="AD54" s="115">
        <f>(AB54/AB$180)*100</f>
        <v>9.6498444022536781E-2</v>
      </c>
    </row>
    <row r="55" spans="1:30">
      <c r="A55" s="5"/>
      <c r="B55" s="108" t="s">
        <v>4</v>
      </c>
      <c r="C55" s="15">
        <v>37.347986747999961</v>
      </c>
      <c r="D55" s="11">
        <v>41.233437817999892</v>
      </c>
      <c r="E55" s="114">
        <f t="shared" si="56"/>
        <v>10.403374875910822</v>
      </c>
      <c r="F55" s="15">
        <v>150.30921764500152</v>
      </c>
      <c r="G55" s="11">
        <v>154.47897067900175</v>
      </c>
      <c r="H55" s="114">
        <f t="shared" si="57"/>
        <v>2.7741166505491996</v>
      </c>
      <c r="I55" s="115">
        <f>(G55/G$181)*100</f>
        <v>0.47960831724000669</v>
      </c>
      <c r="J55" s="103">
        <v>6555</v>
      </c>
      <c r="K55" s="103">
        <v>5097</v>
      </c>
      <c r="L55" s="114">
        <f t="shared" si="58"/>
        <v>-22.242562929061783</v>
      </c>
      <c r="M55" s="103">
        <v>35827</v>
      </c>
      <c r="N55" s="103">
        <v>25237</v>
      </c>
      <c r="O55" s="114">
        <f t="shared" si="59"/>
        <v>-29.558712702710249</v>
      </c>
      <c r="P55" s="115">
        <f>(N55/N$181)*100</f>
        <v>0.25559478832534321</v>
      </c>
      <c r="Q55" s="103">
        <v>0</v>
      </c>
      <c r="R55" s="103">
        <v>0</v>
      </c>
      <c r="S55" s="106" t="s">
        <v>57</v>
      </c>
      <c r="T55" s="103">
        <v>0</v>
      </c>
      <c r="U55" s="103">
        <v>0</v>
      </c>
      <c r="V55" s="106" t="s">
        <v>57</v>
      </c>
      <c r="W55" s="106" t="s">
        <v>57</v>
      </c>
      <c r="X55" s="15">
        <v>763.01638169999978</v>
      </c>
      <c r="Y55" s="15">
        <v>990.22050739999918</v>
      </c>
      <c r="Z55" s="114">
        <f t="shared" si="62"/>
        <v>29.77709668484297</v>
      </c>
      <c r="AA55" s="15">
        <v>6988.1239692819909</v>
      </c>
      <c r="AB55" s="15">
        <v>5153.1550589000344</v>
      </c>
      <c r="AC55" s="114">
        <f t="shared" si="63"/>
        <v>-26.258390927923021</v>
      </c>
      <c r="AD55" s="115">
        <f>(AB55/AB$181)*100</f>
        <v>0.63379392575615001</v>
      </c>
    </row>
    <row r="56" spans="1:30">
      <c r="A56" s="5"/>
      <c r="B56" s="108" t="s">
        <v>5</v>
      </c>
      <c r="C56" s="15">
        <v>0.91340951299988671</v>
      </c>
      <c r="D56" s="11">
        <v>3.0904190590006753</v>
      </c>
      <c r="E56" s="114">
        <f t="shared" si="56"/>
        <v>238.33882995710147</v>
      </c>
      <c r="F56" s="15">
        <v>4.1978917070022197</v>
      </c>
      <c r="G56" s="11">
        <v>12.54516701399335</v>
      </c>
      <c r="H56" s="114">
        <f t="shared" si="57"/>
        <v>198.84446502199194</v>
      </c>
      <c r="I56" s="115">
        <f>(G56/G$182)*100</f>
        <v>1.6173482270487986E-2</v>
      </c>
      <c r="J56" s="103">
        <v>0</v>
      </c>
      <c r="K56" s="103">
        <v>0</v>
      </c>
      <c r="L56" s="106" t="s">
        <v>57</v>
      </c>
      <c r="M56" s="103">
        <v>0</v>
      </c>
      <c r="N56" s="103">
        <v>0</v>
      </c>
      <c r="O56" s="106" t="s">
        <v>57</v>
      </c>
      <c r="P56" s="115">
        <f>(N56/N$182)*100</f>
        <v>0</v>
      </c>
      <c r="Q56" s="103">
        <v>12906</v>
      </c>
      <c r="R56" s="103">
        <v>31110</v>
      </c>
      <c r="S56" s="114">
        <f t="shared" si="60"/>
        <v>141.05067410506743</v>
      </c>
      <c r="T56" s="103">
        <v>48141</v>
      </c>
      <c r="U56" s="103">
        <v>115123</v>
      </c>
      <c r="V56" s="114">
        <f t="shared" si="61"/>
        <v>139.13711804906421</v>
      </c>
      <c r="W56" s="115">
        <f>(U56/U$182)*100</f>
        <v>0.25178513568146599</v>
      </c>
      <c r="X56" s="15">
        <v>69.030173900002453</v>
      </c>
      <c r="Y56" s="15">
        <v>182.81533809996225</v>
      </c>
      <c r="Z56" s="114">
        <f t="shared" si="62"/>
        <v>164.83395270710128</v>
      </c>
      <c r="AA56" s="15">
        <v>308.76536129992166</v>
      </c>
      <c r="AB56" s="15">
        <v>618.47469200073954</v>
      </c>
      <c r="AC56" s="114">
        <f t="shared" si="63"/>
        <v>100.30572386647324</v>
      </c>
      <c r="AD56" s="115">
        <f>(AB56/AB$182)*100</f>
        <v>0.11131422222308039</v>
      </c>
    </row>
    <row r="57" spans="1:30">
      <c r="A57" s="5"/>
      <c r="B57" s="108" t="s">
        <v>6</v>
      </c>
      <c r="C57" s="15">
        <v>0</v>
      </c>
      <c r="D57" s="11">
        <v>0</v>
      </c>
      <c r="E57" s="106" t="s">
        <v>57</v>
      </c>
      <c r="F57" s="15">
        <v>0.8465338</v>
      </c>
      <c r="G57" s="11">
        <v>0</v>
      </c>
      <c r="H57" s="114">
        <f t="shared" si="57"/>
        <v>-100</v>
      </c>
      <c r="I57" s="115">
        <f>(G57/G$183)*100</f>
        <v>0</v>
      </c>
      <c r="J57" s="103">
        <v>0</v>
      </c>
      <c r="K57" s="103">
        <v>0</v>
      </c>
      <c r="L57" s="106" t="s">
        <v>57</v>
      </c>
      <c r="M57" s="103">
        <v>0</v>
      </c>
      <c r="N57" s="103">
        <v>0</v>
      </c>
      <c r="O57" s="106" t="s">
        <v>57</v>
      </c>
      <c r="P57" s="115">
        <f>(N57/N$183)*100</f>
        <v>0</v>
      </c>
      <c r="Q57" s="103">
        <v>0</v>
      </c>
      <c r="R57" s="103">
        <v>0</v>
      </c>
      <c r="S57" s="106" t="s">
        <v>57</v>
      </c>
      <c r="T57" s="103">
        <v>0</v>
      </c>
      <c r="U57" s="103">
        <v>0</v>
      </c>
      <c r="V57" s="106" t="s">
        <v>57</v>
      </c>
      <c r="W57" s="115">
        <f>(U57/U$183)*100</f>
        <v>0</v>
      </c>
      <c r="X57" s="15">
        <v>0</v>
      </c>
      <c r="Y57" s="15">
        <v>0</v>
      </c>
      <c r="Z57" s="106" t="s">
        <v>57</v>
      </c>
      <c r="AA57" s="15">
        <v>0</v>
      </c>
      <c r="AB57" s="15">
        <v>0</v>
      </c>
      <c r="AC57" s="106" t="s">
        <v>57</v>
      </c>
      <c r="AD57" s="115">
        <f>(AB57/AB$183)*100</f>
        <v>0</v>
      </c>
    </row>
    <row r="58" spans="1:30">
      <c r="A58" s="5"/>
      <c r="B58" s="108" t="s">
        <v>25</v>
      </c>
      <c r="C58" s="15">
        <v>2.8725683999999991E-2</v>
      </c>
      <c r="D58" s="11">
        <v>7.1021504000000013E-2</v>
      </c>
      <c r="E58" s="114">
        <f t="shared" si="56"/>
        <v>147.240427764923</v>
      </c>
      <c r="F58" s="15">
        <v>2.2250785889999998</v>
      </c>
      <c r="G58" s="11">
        <v>0.80389844900000029</v>
      </c>
      <c r="H58" s="114">
        <f t="shared" si="57"/>
        <v>-63.871008737660354</v>
      </c>
      <c r="I58" s="115">
        <f>(G58/G$184)*100</f>
        <v>2.0654606898838492E-2</v>
      </c>
      <c r="J58" s="103">
        <v>1</v>
      </c>
      <c r="K58" s="103">
        <v>0</v>
      </c>
      <c r="L58" s="114">
        <f t="shared" si="58"/>
        <v>-100</v>
      </c>
      <c r="M58" s="103">
        <v>15</v>
      </c>
      <c r="N58" s="103">
        <v>4</v>
      </c>
      <c r="O58" s="114">
        <f t="shared" si="59"/>
        <v>-73.333333333333329</v>
      </c>
      <c r="P58" s="115">
        <f>(N58/N$184)*100</f>
        <v>3.6049026676279738E-2</v>
      </c>
      <c r="Q58" s="103">
        <v>-781</v>
      </c>
      <c r="R58" s="103">
        <v>1167</v>
      </c>
      <c r="S58" s="114">
        <f t="shared" si="60"/>
        <v>-249.42381562099874</v>
      </c>
      <c r="T58" s="103">
        <v>31619</v>
      </c>
      <c r="U58" s="103">
        <v>12880</v>
      </c>
      <c r="V58" s="114">
        <f t="shared" si="61"/>
        <v>-59.264998893070619</v>
      </c>
      <c r="W58" s="115">
        <f>(U58/U$184)*100</f>
        <v>4.0692329435873836E-2</v>
      </c>
      <c r="X58" s="15">
        <v>-9.9863316034333973</v>
      </c>
      <c r="Y58" s="15">
        <v>127.88829831592309</v>
      </c>
      <c r="Z58" s="114">
        <f t="shared" si="62"/>
        <v>-1380.633403681026</v>
      </c>
      <c r="AA58" s="15">
        <v>3027.3604386966344</v>
      </c>
      <c r="AB58" s="15">
        <v>1362.6719037059229</v>
      </c>
      <c r="AC58" s="114">
        <f t="shared" si="63"/>
        <v>-54.988118154421272</v>
      </c>
      <c r="AD58" s="115">
        <f>(AB58/AB$184)*100</f>
        <v>0.13388031649871573</v>
      </c>
    </row>
    <row r="59" spans="1:30">
      <c r="A59" s="5"/>
      <c r="B59" s="108"/>
      <c r="C59" s="15"/>
      <c r="D59" s="11"/>
      <c r="E59" s="114"/>
      <c r="F59" s="15"/>
      <c r="G59" s="11"/>
      <c r="H59" s="114"/>
      <c r="I59" s="115"/>
      <c r="J59" s="103"/>
      <c r="K59" s="103"/>
      <c r="L59" s="114"/>
      <c r="M59" s="103"/>
      <c r="N59" s="103"/>
      <c r="O59" s="114"/>
      <c r="P59" s="115"/>
      <c r="Q59" s="103"/>
      <c r="R59" s="103"/>
      <c r="S59" s="114"/>
      <c r="T59" s="103"/>
      <c r="U59" s="103"/>
      <c r="V59" s="114"/>
      <c r="W59" s="115"/>
      <c r="X59" s="15"/>
      <c r="Y59" s="15"/>
      <c r="Z59" s="114"/>
      <c r="AA59" s="15"/>
      <c r="AB59" s="15"/>
      <c r="AC59" s="114"/>
      <c r="AD59" s="115"/>
    </row>
    <row r="60" spans="1:30" s="26" customFormat="1" ht="15">
      <c r="A60" s="16">
        <v>9</v>
      </c>
      <c r="B60" s="107" t="s">
        <v>20</v>
      </c>
      <c r="C60" s="12">
        <f>C61+C62+C63+C64+C65</f>
        <v>64.896298641000001</v>
      </c>
      <c r="D60" s="12">
        <f>D61+D62+D63+D64+D65</f>
        <v>100.88765362689638</v>
      </c>
      <c r="E60" s="110">
        <f t="shared" ref="E60:E65" si="64">((D60-C60)/C60)*100</f>
        <v>55.459796228128575</v>
      </c>
      <c r="F60" s="12">
        <f>F61+F62+F63+F64+F65</f>
        <v>268.06916607900001</v>
      </c>
      <c r="G60" s="12">
        <f>G61+G62+G63+G64+G65</f>
        <v>435.60050155549089</v>
      </c>
      <c r="H60" s="110">
        <f t="shared" ref="H60:H65" si="65">((G60-F60)/F60)*100</f>
        <v>62.495563337977998</v>
      </c>
      <c r="I60" s="111">
        <f>(G60/G$179)*100</f>
        <v>0.33004565941030523</v>
      </c>
      <c r="J60" s="22">
        <f>J61+J62+J63+J64+J65</f>
        <v>14684</v>
      </c>
      <c r="K60" s="22">
        <f>K61+K62+K63+K64+K65</f>
        <v>12885</v>
      </c>
      <c r="L60" s="110">
        <f t="shared" ref="L60:L64" si="66">((K60-J60)/J60)*100</f>
        <v>-12.25143012803051</v>
      </c>
      <c r="M60" s="22">
        <f>M61+M62+M63+M64+M65</f>
        <v>63258</v>
      </c>
      <c r="N60" s="22">
        <f>N61+N62+N63+N64+N65</f>
        <v>54825</v>
      </c>
      <c r="O60" s="110">
        <f t="shared" ref="O60:O64" si="67">((N60-M60)/M60)*100</f>
        <v>-13.331120174523381</v>
      </c>
      <c r="P60" s="111">
        <f>(N60/N$179)*100</f>
        <v>0.52735371453239677</v>
      </c>
      <c r="Q60" s="22">
        <f>Q61+Q62+Q63+Q64+Q65</f>
        <v>84141</v>
      </c>
      <c r="R60" s="22">
        <f>R61+R62+R63+R64+R65</f>
        <v>-43182</v>
      </c>
      <c r="S60" s="110">
        <f t="shared" ref="S60:S65" si="68">((R60-Q60)/Q60)*100</f>
        <v>-151.32099689806395</v>
      </c>
      <c r="T60" s="22">
        <f>T61+T62+T63+T64+T65</f>
        <v>241885</v>
      </c>
      <c r="U60" s="22">
        <f>U61+U62+U63+U64+U65</f>
        <v>433909</v>
      </c>
      <c r="V60" s="110">
        <f t="shared" ref="V60:V65" si="69">((U60-T60)/T60)*100</f>
        <v>79.386485313268707</v>
      </c>
      <c r="W60" s="111">
        <f>(U60/U$179)*100</f>
        <v>0.54654026343097362</v>
      </c>
      <c r="X60" s="12">
        <f>X61+X62+X63+X64+X65</f>
        <v>1996.7821546380001</v>
      </c>
      <c r="Y60" s="12">
        <f>Y61+Y62+Y63+Y64+Y65</f>
        <v>-6557.4053412469202</v>
      </c>
      <c r="Z60" s="110">
        <f t="shared" ref="Z60:Z65" si="70">((Y60-X60)/X60)*100</f>
        <v>-428.39863507472717</v>
      </c>
      <c r="AA60" s="12">
        <f>AA61+AA62+AA63+AA64+AA65</f>
        <v>23389.547394778769</v>
      </c>
      <c r="AB60" s="12">
        <f>AB61+AB62+AB63+AB64+AB65</f>
        <v>38355.352752701474</v>
      </c>
      <c r="AC60" s="110">
        <f t="shared" ref="AC60:AC65" si="71">((AB60-AA60)/AA60)*100</f>
        <v>63.985014781703342</v>
      </c>
      <c r="AD60" s="111">
        <f>(AB60/AB$179)*100</f>
        <v>1.5039254919863354</v>
      </c>
    </row>
    <row r="61" spans="1:30" s="27" customFormat="1">
      <c r="A61" s="5"/>
      <c r="B61" s="108" t="s">
        <v>3</v>
      </c>
      <c r="C61" s="15">
        <v>5.507749372000001</v>
      </c>
      <c r="D61" s="113">
        <v>17.048694135000002</v>
      </c>
      <c r="E61" s="114">
        <f t="shared" si="64"/>
        <v>209.5401221717029</v>
      </c>
      <c r="F61" s="15">
        <v>37.28614389937691</v>
      </c>
      <c r="G61" s="113">
        <v>80.082628608999997</v>
      </c>
      <c r="H61" s="114">
        <f t="shared" si="65"/>
        <v>114.77852154708404</v>
      </c>
      <c r="I61" s="115">
        <f>(G61/G$180)*100</f>
        <v>0.46075233147247552</v>
      </c>
      <c r="J61" s="103">
        <v>134</v>
      </c>
      <c r="K61" s="103">
        <v>189</v>
      </c>
      <c r="L61" s="114">
        <f t="shared" si="66"/>
        <v>41.044776119402989</v>
      </c>
      <c r="M61" s="103">
        <v>595</v>
      </c>
      <c r="N61" s="103">
        <v>608</v>
      </c>
      <c r="O61" s="114">
        <f t="shared" si="67"/>
        <v>2.1848739495798317</v>
      </c>
      <c r="P61" s="115">
        <f>(N61/N$180)*100</f>
        <v>0.11984357259997476</v>
      </c>
      <c r="Q61" s="103">
        <v>0</v>
      </c>
      <c r="R61" s="103">
        <v>0</v>
      </c>
      <c r="S61" s="106" t="s">
        <v>57</v>
      </c>
      <c r="T61" s="103">
        <v>0</v>
      </c>
      <c r="U61" s="103">
        <v>0</v>
      </c>
      <c r="V61" s="106" t="s">
        <v>57</v>
      </c>
      <c r="W61" s="106" t="s">
        <v>57</v>
      </c>
      <c r="X61" s="15">
        <v>2.4038653999999999</v>
      </c>
      <c r="Y61" s="15">
        <v>2.3136638</v>
      </c>
      <c r="Z61" s="114">
        <f t="shared" si="70"/>
        <v>-3.7523565171327764</v>
      </c>
      <c r="AA61" s="15">
        <v>7.0336600000000002</v>
      </c>
      <c r="AB61" s="15">
        <v>10.300639200000001</v>
      </c>
      <c r="AC61" s="114">
        <f t="shared" si="71"/>
        <v>46.447783941788494</v>
      </c>
      <c r="AD61" s="115">
        <f>(AB61/AB$180)*100</f>
        <v>5.5581140619096879E-2</v>
      </c>
    </row>
    <row r="62" spans="1:30" s="27" customFormat="1">
      <c r="A62" s="5"/>
      <c r="B62" s="108" t="s">
        <v>4</v>
      </c>
      <c r="C62" s="15">
        <v>51.516987068999988</v>
      </c>
      <c r="D62" s="113">
        <v>70.904232108000002</v>
      </c>
      <c r="E62" s="114">
        <f t="shared" si="64"/>
        <v>37.632722994909308</v>
      </c>
      <c r="F62" s="15">
        <v>205.07727742200001</v>
      </c>
      <c r="G62" s="113">
        <v>272.16962279699999</v>
      </c>
      <c r="H62" s="114">
        <f t="shared" si="65"/>
        <v>32.715640766451159</v>
      </c>
      <c r="I62" s="115">
        <f>(G62/G$181)*100</f>
        <v>0.84500054745160236</v>
      </c>
      <c r="J62" s="103">
        <v>14547</v>
      </c>
      <c r="K62" s="103">
        <v>12696</v>
      </c>
      <c r="L62" s="114">
        <f t="shared" si="66"/>
        <v>-12.724273045988863</v>
      </c>
      <c r="M62" s="103">
        <v>62649</v>
      </c>
      <c r="N62" s="103">
        <v>54207</v>
      </c>
      <c r="O62" s="114">
        <f t="shared" si="67"/>
        <v>-13.475075420198248</v>
      </c>
      <c r="P62" s="115">
        <f>(N62/N$181)*100</f>
        <v>0.54899658005118979</v>
      </c>
      <c r="Q62" s="103">
        <v>0</v>
      </c>
      <c r="R62" s="103">
        <v>0</v>
      </c>
      <c r="S62" s="106" t="s">
        <v>57</v>
      </c>
      <c r="T62" s="103">
        <v>0</v>
      </c>
      <c r="U62" s="103">
        <v>0</v>
      </c>
      <c r="V62" s="106" t="s">
        <v>57</v>
      </c>
      <c r="W62" s="106" t="s">
        <v>57</v>
      </c>
      <c r="X62" s="15">
        <v>1240.4297147</v>
      </c>
      <c r="Y62" s="15">
        <v>1270.0631883999999</v>
      </c>
      <c r="Z62" s="114">
        <f t="shared" si="70"/>
        <v>2.3889683831999196</v>
      </c>
      <c r="AA62" s="15">
        <v>7047.1720506999991</v>
      </c>
      <c r="AB62" s="15">
        <v>5801.5604685999997</v>
      </c>
      <c r="AC62" s="114">
        <f t="shared" si="71"/>
        <v>-17.675339457283041</v>
      </c>
      <c r="AD62" s="115">
        <f>(AB62/AB$181)*100</f>
        <v>0.7135422363344438</v>
      </c>
    </row>
    <row r="63" spans="1:30" s="27" customFormat="1">
      <c r="A63" s="5"/>
      <c r="B63" s="108" t="s">
        <v>5</v>
      </c>
      <c r="C63" s="15">
        <v>7.1158100000000002E-2</v>
      </c>
      <c r="D63" s="113">
        <v>8.1901988220339048E-2</v>
      </c>
      <c r="E63" s="114">
        <f t="shared" si="64"/>
        <v>15.098615927545907</v>
      </c>
      <c r="F63" s="15">
        <v>0.22553528135593223</v>
      </c>
      <c r="G63" s="113">
        <v>0.36902297127118644</v>
      </c>
      <c r="H63" s="114">
        <f t="shared" si="65"/>
        <v>63.620950590345437</v>
      </c>
      <c r="I63" s="115">
        <f>(G63/G$182)*100</f>
        <v>4.7575185540375581E-4</v>
      </c>
      <c r="J63" s="103">
        <v>0</v>
      </c>
      <c r="K63" s="103">
        <v>0</v>
      </c>
      <c r="L63" s="106" t="s">
        <v>57</v>
      </c>
      <c r="M63" s="103">
        <v>0</v>
      </c>
      <c r="N63" s="103">
        <v>0</v>
      </c>
      <c r="O63" s="106" t="s">
        <v>57</v>
      </c>
      <c r="P63" s="115">
        <f>(N63/N$182)*100</f>
        <v>0</v>
      </c>
      <c r="Q63" s="103">
        <v>350</v>
      </c>
      <c r="R63" s="103">
        <v>516</v>
      </c>
      <c r="S63" s="114">
        <f t="shared" si="68"/>
        <v>47.428571428571431</v>
      </c>
      <c r="T63" s="103">
        <v>855</v>
      </c>
      <c r="U63" s="103">
        <v>2195</v>
      </c>
      <c r="V63" s="114">
        <f t="shared" si="69"/>
        <v>156.7251461988304</v>
      </c>
      <c r="W63" s="115">
        <f>(U63/U$182)*100</f>
        <v>4.8006773001122091E-3</v>
      </c>
      <c r="X63" s="15">
        <v>5.8869000000000007</v>
      </c>
      <c r="Y63" s="15">
        <v>7.1573874000000002</v>
      </c>
      <c r="Z63" s="114">
        <f t="shared" si="70"/>
        <v>21.581603220710381</v>
      </c>
      <c r="AA63" s="15">
        <v>18.075879999999998</v>
      </c>
      <c r="AB63" s="15">
        <v>31.088768599999998</v>
      </c>
      <c r="AC63" s="114">
        <f t="shared" si="71"/>
        <v>71.990346251468821</v>
      </c>
      <c r="AD63" s="115">
        <f>(AB63/AB$182)*100</f>
        <v>5.5954142365750772E-3</v>
      </c>
    </row>
    <row r="64" spans="1:30" s="27" customFormat="1">
      <c r="A64" s="5"/>
      <c r="B64" s="108" t="s">
        <v>6</v>
      </c>
      <c r="C64" s="15">
        <v>2.332964515</v>
      </c>
      <c r="D64" s="113">
        <v>0.241562575</v>
      </c>
      <c r="E64" s="114">
        <f t="shared" si="64"/>
        <v>-89.64568155894132</v>
      </c>
      <c r="F64" s="15">
        <v>8.1745343745978083</v>
      </c>
      <c r="G64" s="113">
        <v>26.780252362660093</v>
      </c>
      <c r="H64" s="114">
        <f t="shared" si="65"/>
        <v>227.60584438765292</v>
      </c>
      <c r="I64" s="115">
        <f>(G64/G$183)*100</f>
        <v>2.8694915497453635</v>
      </c>
      <c r="J64" s="103">
        <v>3</v>
      </c>
      <c r="K64" s="103">
        <v>0</v>
      </c>
      <c r="L64" s="114">
        <f t="shared" si="66"/>
        <v>-100</v>
      </c>
      <c r="M64" s="103">
        <v>14</v>
      </c>
      <c r="N64" s="103">
        <v>10</v>
      </c>
      <c r="O64" s="114">
        <f t="shared" si="67"/>
        <v>-28.571428571428569</v>
      </c>
      <c r="P64" s="115">
        <f>(N64/N$183)*100</f>
        <v>0.29359953024075158</v>
      </c>
      <c r="Q64" s="103">
        <v>2975</v>
      </c>
      <c r="R64" s="103">
        <v>242</v>
      </c>
      <c r="S64" s="114">
        <f t="shared" si="68"/>
        <v>-91.865546218487395</v>
      </c>
      <c r="T64" s="103">
        <v>16269</v>
      </c>
      <c r="U64" s="103">
        <v>84212</v>
      </c>
      <c r="V64" s="114">
        <f t="shared" si="69"/>
        <v>417.62247218636668</v>
      </c>
      <c r="W64" s="115">
        <f>(U64/U$183)*100</f>
        <v>4.1749397521073748</v>
      </c>
      <c r="X64" s="15">
        <v>638.45362739999996</v>
      </c>
      <c r="Y64" s="15">
        <v>2.4300000000000002E-2</v>
      </c>
      <c r="Z64" s="114">
        <f t="shared" si="70"/>
        <v>-99.996193928743267</v>
      </c>
      <c r="AA64" s="15">
        <v>1794.1787459</v>
      </c>
      <c r="AB64" s="15">
        <v>6450.2543581000009</v>
      </c>
      <c r="AC64" s="114">
        <f t="shared" si="71"/>
        <v>259.51013090752059</v>
      </c>
      <c r="AD64" s="115">
        <f>(AB64/AB$183)*100</f>
        <v>4.4389027106403525</v>
      </c>
    </row>
    <row r="65" spans="1:30" s="27" customFormat="1">
      <c r="A65" s="5"/>
      <c r="B65" s="108" t="s">
        <v>25</v>
      </c>
      <c r="C65" s="15">
        <v>5.4674395850000117</v>
      </c>
      <c r="D65" s="113">
        <v>12.611262820676036</v>
      </c>
      <c r="E65" s="114">
        <f t="shared" si="64"/>
        <v>130.6612194723686</v>
      </c>
      <c r="F65" s="15">
        <v>17.305675101669358</v>
      </c>
      <c r="G65" s="113">
        <v>56.198974815559659</v>
      </c>
      <c r="H65" s="114">
        <f t="shared" si="65"/>
        <v>224.74303652065291</v>
      </c>
      <c r="I65" s="115">
        <f>(G65/G$184)*100</f>
        <v>1.4439233392937032</v>
      </c>
      <c r="J65" s="103">
        <v>0</v>
      </c>
      <c r="K65" s="103">
        <v>0</v>
      </c>
      <c r="L65" s="106" t="s">
        <v>57</v>
      </c>
      <c r="M65" s="103">
        <v>0</v>
      </c>
      <c r="N65" s="103">
        <v>0</v>
      </c>
      <c r="O65" s="106" t="s">
        <v>57</v>
      </c>
      <c r="P65" s="115">
        <f>(N65/N$184)*100</f>
        <v>0</v>
      </c>
      <c r="Q65" s="103">
        <v>80816</v>
      </c>
      <c r="R65" s="103">
        <v>-43940</v>
      </c>
      <c r="S65" s="114">
        <f t="shared" si="68"/>
        <v>-154.37042169867351</v>
      </c>
      <c r="T65" s="103">
        <v>224761</v>
      </c>
      <c r="U65" s="103">
        <v>347502</v>
      </c>
      <c r="V65" s="114">
        <f t="shared" si="69"/>
        <v>54.609563046969889</v>
      </c>
      <c r="W65" s="115">
        <f>(U65/U$184)*100</f>
        <v>1.097877784442937</v>
      </c>
      <c r="X65" s="15">
        <v>109.608047138</v>
      </c>
      <c r="Y65" s="15">
        <v>-7836.9638808469199</v>
      </c>
      <c r="Z65" s="114">
        <f t="shared" si="70"/>
        <v>-7249.9895176308855</v>
      </c>
      <c r="AA65" s="15">
        <v>14523.087058178768</v>
      </c>
      <c r="AB65" s="15">
        <v>26062.148518201473</v>
      </c>
      <c r="AC65" s="114">
        <f t="shared" si="71"/>
        <v>79.453227910827749</v>
      </c>
      <c r="AD65" s="115">
        <f>(AB65/AB$184)*100</f>
        <v>2.5605640526997697</v>
      </c>
    </row>
    <row r="66" spans="1:30" s="27" customFormat="1">
      <c r="A66" s="5"/>
      <c r="B66" s="108"/>
      <c r="C66" s="15"/>
      <c r="D66" s="113"/>
      <c r="E66" s="114"/>
      <c r="F66" s="15"/>
      <c r="G66" s="113"/>
      <c r="H66" s="114"/>
      <c r="I66" s="115"/>
      <c r="J66" s="103"/>
      <c r="K66" s="103"/>
      <c r="L66" s="114"/>
      <c r="M66" s="103"/>
      <c r="N66" s="103"/>
      <c r="O66" s="114"/>
      <c r="P66" s="115"/>
      <c r="Q66" s="103"/>
      <c r="R66" s="103"/>
      <c r="S66" s="114"/>
      <c r="T66" s="103"/>
      <c r="U66" s="103"/>
      <c r="V66" s="114"/>
      <c r="W66" s="115"/>
      <c r="X66" s="15"/>
      <c r="Y66" s="15"/>
      <c r="Z66" s="114"/>
      <c r="AA66" s="15"/>
      <c r="AB66" s="15"/>
      <c r="AC66" s="114"/>
      <c r="AD66" s="115"/>
    </row>
    <row r="67" spans="1:30" s="28" customFormat="1" ht="15">
      <c r="A67" s="17">
        <v>10</v>
      </c>
      <c r="B67" s="107" t="s">
        <v>17</v>
      </c>
      <c r="C67" s="12">
        <f>C68+C69+C70+C71+C72</f>
        <v>30.319580413999997</v>
      </c>
      <c r="D67" s="12">
        <f>D68+D69+D70+D71+D72</f>
        <v>32.493127548000004</v>
      </c>
      <c r="E67" s="110">
        <f t="shared" ref="E67:E72" si="72">((D67-C67)/C67)*100</f>
        <v>7.1687902811358697</v>
      </c>
      <c r="F67" s="12">
        <f>F68+F69+F70+F71+F72</f>
        <v>149.35568018199999</v>
      </c>
      <c r="G67" s="12">
        <f>G68+G69+G70+G71+G72</f>
        <v>185.18846452899999</v>
      </c>
      <c r="H67" s="110">
        <f t="shared" ref="H67:H72" si="73">((G67-F67)/F67)*100</f>
        <v>23.99157789200607</v>
      </c>
      <c r="I67" s="111">
        <f>(G67/G$179)*100</f>
        <v>0.14031354112862424</v>
      </c>
      <c r="J67" s="22">
        <f>J68+J69+J70+J71+J72</f>
        <v>4294</v>
      </c>
      <c r="K67" s="22">
        <f>K68+K69+K70+K71+K72</f>
        <v>3397</v>
      </c>
      <c r="L67" s="110">
        <f t="shared" ref="L67:L72" si="74">((K67-J67)/J67)*100</f>
        <v>-20.889613414066137</v>
      </c>
      <c r="M67" s="22">
        <f>M68+M69+M70+M71+M72</f>
        <v>23359</v>
      </c>
      <c r="N67" s="22">
        <f>N68+N69+N70+N71+N72</f>
        <v>14098</v>
      </c>
      <c r="O67" s="110">
        <f t="shared" ref="O67:O72" si="75">((N67-M67)/M67)*100</f>
        <v>-39.646388972130659</v>
      </c>
      <c r="P67" s="111">
        <f>(N67/N$179)*100</f>
        <v>0.13560661500187376</v>
      </c>
      <c r="Q67" s="22">
        <f>Q68+Q69+Q70+Q71+Q72</f>
        <v>11139</v>
      </c>
      <c r="R67" s="22">
        <f>R68+R69+R70+R71+R72</f>
        <v>10637</v>
      </c>
      <c r="S67" s="110">
        <f t="shared" ref="S67:S72" si="76">((R67-Q67)/Q67)*100</f>
        <v>-4.5066882125864076</v>
      </c>
      <c r="T67" s="22">
        <f>T68+T69+T70+T71+T72</f>
        <v>39980</v>
      </c>
      <c r="U67" s="22">
        <f>U68+U69+U70+U71+U72</f>
        <v>49096</v>
      </c>
      <c r="V67" s="110">
        <f t="shared" ref="V67:V72" si="77">((U67-T67)/T67)*100</f>
        <v>22.801400700350175</v>
      </c>
      <c r="W67" s="111">
        <f>(U67/U$179)*100</f>
        <v>6.1840018928870054E-2</v>
      </c>
      <c r="X67" s="12">
        <f>X68+X69+X70+X71+X72</f>
        <v>3210.3917976000002</v>
      </c>
      <c r="Y67" s="12">
        <f>Y68+Y69+Y70+Y71+Y72</f>
        <v>2449.1556193000001</v>
      </c>
      <c r="Z67" s="110">
        <f t="shared" ref="Z67:Z72" si="78">((Y67-X67)/X67)*100</f>
        <v>-23.71162855789375</v>
      </c>
      <c r="AA67" s="12">
        <f>AA68+AA69+AA70+AA71+AA72</f>
        <v>17448.519880100001</v>
      </c>
      <c r="AB67" s="12">
        <f>AB68+AB69+AB70+AB71+AB72</f>
        <v>12845.311843300002</v>
      </c>
      <c r="AC67" s="110">
        <f t="shared" ref="AC67:AC72" si="79">((AB67-AA67)/AA67)*100</f>
        <v>-26.38165339198741</v>
      </c>
      <c r="AD67" s="111">
        <f>(AB67/AB$179)*100</f>
        <v>0.50366873323286554</v>
      </c>
    </row>
    <row r="68" spans="1:30">
      <c r="A68" s="5"/>
      <c r="B68" s="108" t="s">
        <v>3</v>
      </c>
      <c r="C68" s="15">
        <v>0.220980965</v>
      </c>
      <c r="D68" s="11">
        <v>0.82957525500000007</v>
      </c>
      <c r="E68" s="114">
        <f t="shared" si="72"/>
        <v>275.40575270815754</v>
      </c>
      <c r="F68" s="15">
        <v>0.87796450599999998</v>
      </c>
      <c r="G68" s="11">
        <v>1.893622653</v>
      </c>
      <c r="H68" s="114">
        <f t="shared" si="73"/>
        <v>115.68328105054397</v>
      </c>
      <c r="I68" s="115">
        <f>(G68/G$180)*100</f>
        <v>1.0894885288527988E-2</v>
      </c>
      <c r="J68" s="103">
        <v>9</v>
      </c>
      <c r="K68" s="103">
        <v>15</v>
      </c>
      <c r="L68" s="114">
        <f t="shared" si="74"/>
        <v>66.666666666666657</v>
      </c>
      <c r="M68" s="103">
        <v>40</v>
      </c>
      <c r="N68" s="103">
        <v>63</v>
      </c>
      <c r="O68" s="114">
        <f t="shared" si="75"/>
        <v>57.499999999999993</v>
      </c>
      <c r="P68" s="115">
        <f>(N68/N$180)*100</f>
        <v>1.2418001766115806E-2</v>
      </c>
      <c r="Q68" s="103">
        <v>0</v>
      </c>
      <c r="R68" s="103">
        <v>0</v>
      </c>
      <c r="S68" s="106" t="s">
        <v>57</v>
      </c>
      <c r="T68" s="103">
        <v>0</v>
      </c>
      <c r="U68" s="103">
        <v>0</v>
      </c>
      <c r="V68" s="106" t="s">
        <v>57</v>
      </c>
      <c r="W68" s="106" t="s">
        <v>57</v>
      </c>
      <c r="X68" s="15">
        <v>0.18212029999999998</v>
      </c>
      <c r="Y68" s="15">
        <v>0.88282450000000012</v>
      </c>
      <c r="Z68" s="114">
        <f t="shared" si="78"/>
        <v>384.74799349660645</v>
      </c>
      <c r="AA68" s="15">
        <v>0.42208810000000002</v>
      </c>
      <c r="AB68" s="15">
        <v>1.4445711000000001</v>
      </c>
      <c r="AC68" s="114">
        <f t="shared" si="79"/>
        <v>242.24397702754473</v>
      </c>
      <c r="AD68" s="115">
        <f>(AB68/AB$180)*100</f>
        <v>7.7947501979666904E-3</v>
      </c>
    </row>
    <row r="69" spans="1:30">
      <c r="A69" s="5"/>
      <c r="B69" s="108" t="s">
        <v>4</v>
      </c>
      <c r="C69" s="15">
        <v>21.751062900000001</v>
      </c>
      <c r="D69" s="11">
        <v>25.4022629</v>
      </c>
      <c r="E69" s="114">
        <f t="shared" si="72"/>
        <v>16.786306107367281</v>
      </c>
      <c r="F69" s="15">
        <v>115.3827888</v>
      </c>
      <c r="G69" s="11">
        <v>100.22240859999999</v>
      </c>
      <c r="H69" s="114">
        <f t="shared" si="73"/>
        <v>-13.139204172191066</v>
      </c>
      <c r="I69" s="115">
        <f>(G69/G$181)*100</f>
        <v>0.31115886212284405</v>
      </c>
      <c r="J69" s="103">
        <v>4284</v>
      </c>
      <c r="K69" s="103">
        <v>3377</v>
      </c>
      <c r="L69" s="114">
        <f t="shared" si="74"/>
        <v>-21.171802054154995</v>
      </c>
      <c r="M69" s="103">
        <v>23300</v>
      </c>
      <c r="N69" s="103">
        <v>14021</v>
      </c>
      <c r="O69" s="114">
        <f t="shared" si="75"/>
        <v>-39.824034334763944</v>
      </c>
      <c r="P69" s="115">
        <f>(N69/N$181)*100</f>
        <v>0.14200160586082486</v>
      </c>
      <c r="Q69" s="103">
        <v>0</v>
      </c>
      <c r="R69" s="103">
        <v>0</v>
      </c>
      <c r="S69" s="106" t="s">
        <v>57</v>
      </c>
      <c r="T69" s="103">
        <v>0</v>
      </c>
      <c r="U69" s="103">
        <v>0</v>
      </c>
      <c r="V69" s="106" t="s">
        <v>57</v>
      </c>
      <c r="W69" s="106" t="s">
        <v>57</v>
      </c>
      <c r="X69" s="15">
        <v>413.91361680000011</v>
      </c>
      <c r="Y69" s="15">
        <v>249.08882059999999</v>
      </c>
      <c r="Z69" s="114">
        <f t="shared" si="78"/>
        <v>-39.821061571801877</v>
      </c>
      <c r="AA69" s="15">
        <v>2192.6538876999998</v>
      </c>
      <c r="AB69" s="15">
        <v>990.13665259999993</v>
      </c>
      <c r="AC69" s="114">
        <f t="shared" si="79"/>
        <v>-54.84300289460591</v>
      </c>
      <c r="AD69" s="115">
        <f>(AB69/AB$181)*100</f>
        <v>0.12177832588262136</v>
      </c>
    </row>
    <row r="70" spans="1:30">
      <c r="A70" s="5"/>
      <c r="B70" s="108" t="s">
        <v>5</v>
      </c>
      <c r="C70" s="112">
        <v>6.7898040379999971</v>
      </c>
      <c r="D70" s="11">
        <v>1.9275067100000001</v>
      </c>
      <c r="E70" s="114">
        <f t="shared" si="72"/>
        <v>-71.611747567198321</v>
      </c>
      <c r="F70" s="112">
        <v>9.1733467759999989</v>
      </c>
      <c r="G70" s="11">
        <v>13.193072103999999</v>
      </c>
      <c r="H70" s="114">
        <f t="shared" si="73"/>
        <v>43.819615960847663</v>
      </c>
      <c r="I70" s="115">
        <f>(G70/G$182)*100</f>
        <v>1.7008774576640063E-2</v>
      </c>
      <c r="J70" s="116">
        <v>0</v>
      </c>
      <c r="K70" s="116">
        <v>0</v>
      </c>
      <c r="L70" s="106" t="s">
        <v>57</v>
      </c>
      <c r="M70" s="116">
        <v>4</v>
      </c>
      <c r="N70" s="116">
        <v>0</v>
      </c>
      <c r="O70" s="114">
        <f t="shared" si="75"/>
        <v>-100</v>
      </c>
      <c r="P70" s="115">
        <f>(N70/N$182)*100</f>
        <v>0</v>
      </c>
      <c r="Q70" s="116">
        <v>4940</v>
      </c>
      <c r="R70" s="116">
        <v>742</v>
      </c>
      <c r="S70" s="114">
        <f t="shared" si="76"/>
        <v>-84.979757085020253</v>
      </c>
      <c r="T70" s="116">
        <v>6249</v>
      </c>
      <c r="U70" s="116">
        <v>6035</v>
      </c>
      <c r="V70" s="114">
        <f t="shared" si="77"/>
        <v>-3.424547927668427</v>
      </c>
      <c r="W70" s="115">
        <f>(U70/U$182)*100</f>
        <v>1.3199128704408739E-2</v>
      </c>
      <c r="X70" s="112">
        <v>432.2149086</v>
      </c>
      <c r="Y70" s="112">
        <v>88.360971000000006</v>
      </c>
      <c r="Z70" s="114">
        <f t="shared" si="78"/>
        <v>-79.556241758015105</v>
      </c>
      <c r="AA70" s="112">
        <v>447.02776940000001</v>
      </c>
      <c r="AB70" s="112">
        <v>668.13480670000001</v>
      </c>
      <c r="AC70" s="114">
        <f t="shared" si="79"/>
        <v>49.461588839720079</v>
      </c>
      <c r="AD70" s="115">
        <f>(AB70/AB$182)*100</f>
        <v>0.12025214177703125</v>
      </c>
    </row>
    <row r="71" spans="1:30">
      <c r="A71" s="5"/>
      <c r="B71" s="108" t="s">
        <v>6</v>
      </c>
      <c r="C71" s="112">
        <v>0</v>
      </c>
      <c r="D71" s="11">
        <v>0</v>
      </c>
      <c r="E71" s="106" t="s">
        <v>57</v>
      </c>
      <c r="F71" s="112">
        <v>0</v>
      </c>
      <c r="G71" s="11">
        <v>0</v>
      </c>
      <c r="H71" s="106" t="s">
        <v>57</v>
      </c>
      <c r="I71" s="115">
        <f>(G71/G$183)*100</f>
        <v>0</v>
      </c>
      <c r="J71" s="116">
        <v>0</v>
      </c>
      <c r="K71" s="116">
        <v>0</v>
      </c>
      <c r="L71" s="106" t="s">
        <v>57</v>
      </c>
      <c r="M71" s="116">
        <v>0</v>
      </c>
      <c r="N71" s="116">
        <v>0</v>
      </c>
      <c r="O71" s="106" t="s">
        <v>57</v>
      </c>
      <c r="P71" s="115">
        <f>(N71/N$183)*100</f>
        <v>0</v>
      </c>
      <c r="Q71" s="116">
        <v>0</v>
      </c>
      <c r="R71" s="116">
        <v>0</v>
      </c>
      <c r="S71" s="106" t="s">
        <v>57</v>
      </c>
      <c r="T71" s="116">
        <v>0</v>
      </c>
      <c r="U71" s="116">
        <v>0</v>
      </c>
      <c r="V71" s="106" t="s">
        <v>57</v>
      </c>
      <c r="W71" s="115">
        <f>(U71/U$183)*100</f>
        <v>0</v>
      </c>
      <c r="X71" s="112">
        <v>0</v>
      </c>
      <c r="Y71" s="112">
        <v>0</v>
      </c>
      <c r="Z71" s="106" t="s">
        <v>57</v>
      </c>
      <c r="AA71" s="112">
        <v>0</v>
      </c>
      <c r="AB71" s="112">
        <v>0</v>
      </c>
      <c r="AC71" s="106" t="s">
        <v>57</v>
      </c>
      <c r="AD71" s="115">
        <f>(AB71/AB$183)*100</f>
        <v>0</v>
      </c>
    </row>
    <row r="72" spans="1:30">
      <c r="A72" s="5"/>
      <c r="B72" s="108" t="s">
        <v>25</v>
      </c>
      <c r="C72" s="112">
        <v>1.5577325109999995</v>
      </c>
      <c r="D72" s="11">
        <v>4.3337826829999999</v>
      </c>
      <c r="E72" s="114">
        <f t="shared" si="72"/>
        <v>178.21096705607638</v>
      </c>
      <c r="F72" s="112">
        <v>23.921580099999996</v>
      </c>
      <c r="G72" s="11">
        <v>69.879361172000003</v>
      </c>
      <c r="H72" s="114">
        <f t="shared" si="73"/>
        <v>192.11850086775834</v>
      </c>
      <c r="I72" s="115">
        <f>(G72/G$184)*100</f>
        <v>1.7954142555506005</v>
      </c>
      <c r="J72" s="116">
        <v>1</v>
      </c>
      <c r="K72" s="116">
        <v>5</v>
      </c>
      <c r="L72" s="114">
        <f t="shared" si="74"/>
        <v>400</v>
      </c>
      <c r="M72" s="116">
        <v>15</v>
      </c>
      <c r="N72" s="116">
        <v>14</v>
      </c>
      <c r="O72" s="114">
        <f t="shared" si="75"/>
        <v>-6.666666666666667</v>
      </c>
      <c r="P72" s="115">
        <f>(N72/N$184)*100</f>
        <v>0.12617159336697908</v>
      </c>
      <c r="Q72" s="116">
        <v>6199</v>
      </c>
      <c r="R72" s="116">
        <v>9895</v>
      </c>
      <c r="S72" s="114">
        <f t="shared" si="76"/>
        <v>59.622519761251816</v>
      </c>
      <c r="T72" s="116">
        <v>33731</v>
      </c>
      <c r="U72" s="116">
        <v>43061</v>
      </c>
      <c r="V72" s="114">
        <f t="shared" si="77"/>
        <v>27.660016009012484</v>
      </c>
      <c r="W72" s="115">
        <f>(U72/U$184)*100</f>
        <v>0.13604444082594433</v>
      </c>
      <c r="X72" s="112">
        <v>2364.0811518999999</v>
      </c>
      <c r="Y72" s="112">
        <v>2110.8230032000001</v>
      </c>
      <c r="Z72" s="114">
        <f t="shared" si="78"/>
        <v>-10.712751907710844</v>
      </c>
      <c r="AA72" s="112">
        <v>14808.416134899999</v>
      </c>
      <c r="AB72" s="112">
        <v>11185.595812900001</v>
      </c>
      <c r="AC72" s="114">
        <f t="shared" si="79"/>
        <v>-24.464603702362549</v>
      </c>
      <c r="AD72" s="115">
        <f>(AB72/AB$184)*100</f>
        <v>1.0989667458359387</v>
      </c>
    </row>
    <row r="73" spans="1:30">
      <c r="A73" s="5"/>
      <c r="B73" s="108"/>
      <c r="C73" s="112"/>
      <c r="D73" s="11"/>
      <c r="E73" s="114"/>
      <c r="F73" s="112"/>
      <c r="G73" s="11"/>
      <c r="H73" s="114"/>
      <c r="I73" s="115"/>
      <c r="J73" s="116"/>
      <c r="K73" s="116"/>
      <c r="L73" s="114"/>
      <c r="M73" s="116"/>
      <c r="N73" s="116"/>
      <c r="O73" s="114"/>
      <c r="P73" s="115"/>
      <c r="Q73" s="116"/>
      <c r="R73" s="116"/>
      <c r="S73" s="114"/>
      <c r="T73" s="116"/>
      <c r="U73" s="116"/>
      <c r="V73" s="114"/>
      <c r="W73" s="115"/>
      <c r="X73" s="112"/>
      <c r="Y73" s="112"/>
      <c r="Z73" s="114"/>
      <c r="AA73" s="112"/>
      <c r="AB73" s="112"/>
      <c r="AC73" s="114"/>
      <c r="AD73" s="115"/>
    </row>
    <row r="74" spans="1:30" s="24" customFormat="1" ht="15">
      <c r="A74" s="16">
        <v>11</v>
      </c>
      <c r="B74" s="107" t="s">
        <v>35</v>
      </c>
      <c r="C74" s="12">
        <f>C75+C76+C77+C78+C79</f>
        <v>2028.7481421939906</v>
      </c>
      <c r="D74" s="12">
        <f>D75+D76+D77+D78+D79</f>
        <v>2788.8399045519955</v>
      </c>
      <c r="E74" s="110">
        <f t="shared" ref="E74:E79" si="80">((D74-C74)/C74)*100</f>
        <v>37.466048473419832</v>
      </c>
      <c r="F74" s="12">
        <f>F75+F76+F77+F78+F79</f>
        <v>8561.6372445720008</v>
      </c>
      <c r="G74" s="12">
        <f>G75+G76+G77+G78+G79</f>
        <v>10441.395539687008</v>
      </c>
      <c r="H74" s="110">
        <f t="shared" ref="H74:H79" si="81">((G74-F74)/F74)*100</f>
        <v>21.955593789105659</v>
      </c>
      <c r="I74" s="111">
        <f>(G74/G$179)*100</f>
        <v>7.9112334897548706</v>
      </c>
      <c r="J74" s="22">
        <f>J75+J76+J77+J78+J79</f>
        <v>86268</v>
      </c>
      <c r="K74" s="22">
        <f>K75+K76+K77+K78+K79</f>
        <v>76616</v>
      </c>
      <c r="L74" s="110">
        <f t="shared" ref="L74:L79" si="82">((K74-J74)/J74)*100</f>
        <v>-11.188389669402328</v>
      </c>
      <c r="M74" s="22">
        <f>M75+M76+M77+M78+M79</f>
        <v>444329</v>
      </c>
      <c r="N74" s="22">
        <f>N75+N76+N77+N78+N79</f>
        <v>409161</v>
      </c>
      <c r="O74" s="110">
        <f t="shared" ref="O74:O79" si="83">((N74-M74)/M74)*100</f>
        <v>-7.9148558838158216</v>
      </c>
      <c r="P74" s="111">
        <f>(N74/N$179)*100</f>
        <v>3.9356602497362512</v>
      </c>
      <c r="Q74" s="22">
        <f>Q75+Q76+Q77+Q78+Q79</f>
        <v>2879883</v>
      </c>
      <c r="R74" s="22">
        <f>R75+R76+R77+R78+R79</f>
        <v>4851062</v>
      </c>
      <c r="S74" s="110">
        <f t="shared" ref="S74:S79" si="84">((R74-Q74)/Q74)*100</f>
        <v>68.446495916674394</v>
      </c>
      <c r="T74" s="22">
        <f>T75+T76+T77+T78+T79</f>
        <v>9763642</v>
      </c>
      <c r="U74" s="22">
        <f>U75+U76+U77+U78+U79</f>
        <v>19605658</v>
      </c>
      <c r="V74" s="110">
        <f t="shared" ref="V74:V79" si="85">((U74-T74)/T74)*100</f>
        <v>100.8027127582105</v>
      </c>
      <c r="W74" s="111">
        <f>(U74/U$179)*100</f>
        <v>24.694766617096153</v>
      </c>
      <c r="X74" s="12">
        <f>X75+X76+X77+X78+X79</f>
        <v>46208.873950402995</v>
      </c>
      <c r="Y74" s="12">
        <f>Y75+Y76+Y77+Y78+Y79</f>
        <v>59135.331970624997</v>
      </c>
      <c r="Z74" s="110">
        <f t="shared" ref="Z74:Z79" si="86">((Y74-X74)/X74)*100</f>
        <v>27.973973211501008</v>
      </c>
      <c r="AA74" s="12">
        <f>AA75+AA76+AA77+AA78+AA79</f>
        <v>221339.57816545802</v>
      </c>
      <c r="AB74" s="12">
        <f>AB75+AB76+AB77+AB78+AB79</f>
        <v>298908.73442961602</v>
      </c>
      <c r="AC74" s="110">
        <f t="shared" ref="AC74:AC79" si="87">((AB74-AA74)/AA74)*100</f>
        <v>35.045316751337033</v>
      </c>
      <c r="AD74" s="111">
        <f>(AB74/AB$179)*100</f>
        <v>11.720305856251342</v>
      </c>
    </row>
    <row r="75" spans="1:30">
      <c r="A75" s="5"/>
      <c r="B75" s="108" t="s">
        <v>3</v>
      </c>
      <c r="C75" s="112">
        <v>339.05118866099997</v>
      </c>
      <c r="D75" s="11">
        <v>341.15748910799999</v>
      </c>
      <c r="E75" s="114">
        <f t="shared" si="80"/>
        <v>0.62123375981023521</v>
      </c>
      <c r="F75" s="112">
        <v>1578.1723324019999</v>
      </c>
      <c r="G75" s="11">
        <v>1812.1277145490001</v>
      </c>
      <c r="H75" s="114">
        <f t="shared" si="81"/>
        <v>14.824450875457742</v>
      </c>
      <c r="I75" s="115">
        <f>(G75/G$180)*100</f>
        <v>10.426007286560353</v>
      </c>
      <c r="J75" s="116">
        <v>4105</v>
      </c>
      <c r="K75" s="116">
        <v>3805</v>
      </c>
      <c r="L75" s="114">
        <f t="shared" si="82"/>
        <v>-7.3081607795371495</v>
      </c>
      <c r="M75" s="116">
        <v>18783</v>
      </c>
      <c r="N75" s="116">
        <v>20873</v>
      </c>
      <c r="O75" s="114">
        <f t="shared" si="83"/>
        <v>11.127083000585635</v>
      </c>
      <c r="P75" s="115">
        <f>(N75/N$180)*100</f>
        <v>4.1143008073672256</v>
      </c>
      <c r="Q75" s="116">
        <v>0</v>
      </c>
      <c r="R75" s="116">
        <v>0</v>
      </c>
      <c r="S75" s="106" t="s">
        <v>57</v>
      </c>
      <c r="T75" s="116">
        <v>0</v>
      </c>
      <c r="U75" s="116">
        <v>0</v>
      </c>
      <c r="V75" s="106" t="s">
        <v>57</v>
      </c>
      <c r="W75" s="106" t="s">
        <v>57</v>
      </c>
      <c r="X75" s="112">
        <v>101.26008040000001</v>
      </c>
      <c r="Y75" s="112">
        <v>93.194694099999978</v>
      </c>
      <c r="Z75" s="114">
        <f t="shared" si="86"/>
        <v>-7.9650206361084708</v>
      </c>
      <c r="AA75" s="112">
        <v>584.40485520000004</v>
      </c>
      <c r="AB75" s="112">
        <v>515.50061949999997</v>
      </c>
      <c r="AC75" s="114">
        <f t="shared" si="87"/>
        <v>-11.79049679120463</v>
      </c>
      <c r="AD75" s="115">
        <f>(AB75/AB$180)*100</f>
        <v>2.7815858671820144</v>
      </c>
    </row>
    <row r="76" spans="1:30">
      <c r="A76" s="5"/>
      <c r="B76" s="108" t="s">
        <v>4</v>
      </c>
      <c r="C76" s="112">
        <v>577.36827532899997</v>
      </c>
      <c r="D76" s="11">
        <v>700.12983210200002</v>
      </c>
      <c r="E76" s="114">
        <f t="shared" si="80"/>
        <v>21.262262236879437</v>
      </c>
      <c r="F76" s="112">
        <v>2653.1660501399997</v>
      </c>
      <c r="G76" s="11">
        <v>3237.5045306859997</v>
      </c>
      <c r="H76" s="114">
        <f t="shared" si="81"/>
        <v>22.024195602652394</v>
      </c>
      <c r="I76" s="115">
        <f>(G76/G$181)*100</f>
        <v>10.051427020741228</v>
      </c>
      <c r="J76" s="116">
        <v>82138</v>
      </c>
      <c r="K76" s="116">
        <v>72793</v>
      </c>
      <c r="L76" s="114">
        <f t="shared" si="82"/>
        <v>-11.377194477586501</v>
      </c>
      <c r="M76" s="116">
        <v>425404</v>
      </c>
      <c r="N76" s="116">
        <v>388219</v>
      </c>
      <c r="O76" s="114">
        <f t="shared" si="83"/>
        <v>-8.7411025754341765</v>
      </c>
      <c r="P76" s="115">
        <f>(N76/N$181)*100</f>
        <v>3.9317966925100611</v>
      </c>
      <c r="Q76" s="116">
        <v>0</v>
      </c>
      <c r="R76" s="116">
        <v>0</v>
      </c>
      <c r="S76" s="106" t="s">
        <v>57</v>
      </c>
      <c r="T76" s="116">
        <v>0</v>
      </c>
      <c r="U76" s="116">
        <v>0</v>
      </c>
      <c r="V76" s="106" t="s">
        <v>57</v>
      </c>
      <c r="W76" s="106" t="s">
        <v>57</v>
      </c>
      <c r="X76" s="112">
        <v>18495.7558675</v>
      </c>
      <c r="Y76" s="112">
        <v>17574.5067456</v>
      </c>
      <c r="Z76" s="114">
        <f t="shared" si="86"/>
        <v>-4.9808676568811245</v>
      </c>
      <c r="AA76" s="112">
        <v>109750.21002140001</v>
      </c>
      <c r="AB76" s="112">
        <v>105293.4028582</v>
      </c>
      <c r="AC76" s="114">
        <f t="shared" si="87"/>
        <v>-4.0608643594677227</v>
      </c>
      <c r="AD76" s="115">
        <f>(AB76/AB$181)*100</f>
        <v>12.950186515048737</v>
      </c>
    </row>
    <row r="77" spans="1:30">
      <c r="A77" s="5"/>
      <c r="B77" s="108" t="s">
        <v>5</v>
      </c>
      <c r="C77" s="15">
        <v>1092.95486630699</v>
      </c>
      <c r="D77" s="11">
        <v>1716.5609591309956</v>
      </c>
      <c r="E77" s="114">
        <f t="shared" si="80"/>
        <v>57.05689338582868</v>
      </c>
      <c r="F77" s="15">
        <v>4257.2793478609901</v>
      </c>
      <c r="G77" s="11">
        <v>5221.5918610950084</v>
      </c>
      <c r="H77" s="114">
        <f t="shared" si="81"/>
        <v>22.650909992987035</v>
      </c>
      <c r="I77" s="115">
        <f>(G77/G$182)*100</f>
        <v>6.7317815135457595</v>
      </c>
      <c r="J77" s="103">
        <v>17</v>
      </c>
      <c r="K77" s="103">
        <v>16</v>
      </c>
      <c r="L77" s="114">
        <f t="shared" si="82"/>
        <v>-5.8823529411764701</v>
      </c>
      <c r="M77" s="103">
        <v>81</v>
      </c>
      <c r="N77" s="103">
        <v>39</v>
      </c>
      <c r="O77" s="114">
        <f t="shared" si="83"/>
        <v>-51.851851851851848</v>
      </c>
      <c r="P77" s="115">
        <f>(N77/N$182)*100</f>
        <v>6.6552901023890794</v>
      </c>
      <c r="Q77" s="103">
        <v>2282182</v>
      </c>
      <c r="R77" s="103">
        <v>4206649</v>
      </c>
      <c r="S77" s="114">
        <f t="shared" si="84"/>
        <v>84.325746149956487</v>
      </c>
      <c r="T77" s="103">
        <v>6409818</v>
      </c>
      <c r="U77" s="103">
        <v>15802351</v>
      </c>
      <c r="V77" s="114">
        <f t="shared" si="85"/>
        <v>146.5335365216298</v>
      </c>
      <c r="W77" s="115">
        <f>(U77/U$182)*100</f>
        <v>34.561270038316842</v>
      </c>
      <c r="X77" s="15">
        <v>21612.059100003</v>
      </c>
      <c r="Y77" s="15">
        <v>34418.153592625</v>
      </c>
      <c r="Z77" s="114">
        <f t="shared" si="86"/>
        <v>59.254393268895988</v>
      </c>
      <c r="AA77" s="15">
        <v>73136.040342958004</v>
      </c>
      <c r="AB77" s="15">
        <v>150192.272553416</v>
      </c>
      <c r="AC77" s="114">
        <f t="shared" si="87"/>
        <v>105.36013687522181</v>
      </c>
      <c r="AD77" s="115">
        <f>(AB77/AB$182)*100</f>
        <v>27.031883793202027</v>
      </c>
    </row>
    <row r="78" spans="1:30">
      <c r="A78" s="5"/>
      <c r="B78" s="108" t="s">
        <v>6</v>
      </c>
      <c r="C78" s="15">
        <v>0</v>
      </c>
      <c r="D78" s="11">
        <v>0</v>
      </c>
      <c r="E78" s="106" t="s">
        <v>57</v>
      </c>
      <c r="F78" s="15">
        <v>0</v>
      </c>
      <c r="G78" s="11">
        <v>0</v>
      </c>
      <c r="H78" s="106" t="s">
        <v>57</v>
      </c>
      <c r="I78" s="115">
        <f>(G78/G$183)*100</f>
        <v>0</v>
      </c>
      <c r="J78" s="103">
        <v>0</v>
      </c>
      <c r="K78" s="103">
        <v>0</v>
      </c>
      <c r="L78" s="106" t="s">
        <v>57</v>
      </c>
      <c r="M78" s="103">
        <v>0</v>
      </c>
      <c r="N78" s="103">
        <v>0</v>
      </c>
      <c r="O78" s="106" t="s">
        <v>57</v>
      </c>
      <c r="P78" s="115">
        <f>(N78/N$183)*100</f>
        <v>0</v>
      </c>
      <c r="Q78" s="103">
        <v>0</v>
      </c>
      <c r="R78" s="103">
        <v>0</v>
      </c>
      <c r="S78" s="106" t="s">
        <v>57</v>
      </c>
      <c r="T78" s="103">
        <v>0</v>
      </c>
      <c r="U78" s="103">
        <v>0</v>
      </c>
      <c r="V78" s="106" t="s">
        <v>57</v>
      </c>
      <c r="W78" s="115">
        <f>(U78/U$183)*100</f>
        <v>0</v>
      </c>
      <c r="X78" s="15">
        <v>0</v>
      </c>
      <c r="Y78" s="15">
        <v>0</v>
      </c>
      <c r="Z78" s="106" t="s">
        <v>57</v>
      </c>
      <c r="AA78" s="15">
        <v>0</v>
      </c>
      <c r="AB78" s="15">
        <v>0</v>
      </c>
      <c r="AC78" s="106" t="s">
        <v>57</v>
      </c>
      <c r="AD78" s="115">
        <f>(AB78/AB$183)*100</f>
        <v>0</v>
      </c>
    </row>
    <row r="79" spans="1:30">
      <c r="A79" s="5"/>
      <c r="B79" s="108" t="s">
        <v>25</v>
      </c>
      <c r="C79" s="15">
        <v>19.3738118970006</v>
      </c>
      <c r="D79" s="11">
        <v>30.991624210999959</v>
      </c>
      <c r="E79" s="114">
        <f t="shared" si="80"/>
        <v>59.966579503117799</v>
      </c>
      <c r="F79" s="15">
        <v>73.019514169010904</v>
      </c>
      <c r="G79" s="11">
        <v>170.17143335700024</v>
      </c>
      <c r="H79" s="114">
        <f t="shared" si="81"/>
        <v>133.04925442686675</v>
      </c>
      <c r="I79" s="115">
        <f>(G79/G$184)*100</f>
        <v>4.3722239615873804</v>
      </c>
      <c r="J79" s="103">
        <v>8</v>
      </c>
      <c r="K79" s="103">
        <v>2</v>
      </c>
      <c r="L79" s="114">
        <f t="shared" si="82"/>
        <v>-75</v>
      </c>
      <c r="M79" s="103">
        <v>61</v>
      </c>
      <c r="N79" s="103">
        <v>30</v>
      </c>
      <c r="O79" s="114">
        <f t="shared" si="83"/>
        <v>-50.819672131147541</v>
      </c>
      <c r="P79" s="115">
        <f>(N79/N$184)*100</f>
        <v>0.27036770007209804</v>
      </c>
      <c r="Q79" s="103">
        <v>597701</v>
      </c>
      <c r="R79" s="103">
        <v>644413</v>
      </c>
      <c r="S79" s="114">
        <f t="shared" si="84"/>
        <v>7.8152788768966417</v>
      </c>
      <c r="T79" s="103">
        <v>3353824</v>
      </c>
      <c r="U79" s="103">
        <v>3803307</v>
      </c>
      <c r="V79" s="114">
        <f t="shared" si="85"/>
        <v>13.402104582709171</v>
      </c>
      <c r="W79" s="115">
        <f>(U79/U$184)*100</f>
        <v>12.015948865664985</v>
      </c>
      <c r="X79" s="15">
        <v>5999.7989025000006</v>
      </c>
      <c r="Y79" s="15">
        <v>7049.4769383000003</v>
      </c>
      <c r="Z79" s="114">
        <f t="shared" si="86"/>
        <v>17.495220304177511</v>
      </c>
      <c r="AA79" s="15">
        <v>37868.922945899998</v>
      </c>
      <c r="AB79" s="15">
        <v>42907.558398499998</v>
      </c>
      <c r="AC79" s="114">
        <f t="shared" si="87"/>
        <v>13.305462792797817</v>
      </c>
      <c r="AD79" s="115">
        <f>(AB79/AB$184)*100</f>
        <v>4.2155984011673135</v>
      </c>
    </row>
    <row r="80" spans="1:30">
      <c r="A80" s="5"/>
      <c r="B80" s="108"/>
      <c r="C80" s="15"/>
      <c r="D80" s="11"/>
      <c r="E80" s="114"/>
      <c r="F80" s="15"/>
      <c r="G80" s="11"/>
      <c r="H80" s="114"/>
      <c r="I80" s="115"/>
      <c r="J80" s="103"/>
      <c r="K80" s="103"/>
      <c r="L80" s="114"/>
      <c r="M80" s="103"/>
      <c r="N80" s="103"/>
      <c r="O80" s="114"/>
      <c r="P80" s="115"/>
      <c r="Q80" s="103"/>
      <c r="R80" s="103"/>
      <c r="S80" s="114"/>
      <c r="T80" s="103"/>
      <c r="U80" s="103"/>
      <c r="V80" s="114"/>
      <c r="W80" s="115"/>
      <c r="X80" s="15"/>
      <c r="Y80" s="15"/>
      <c r="Z80" s="114"/>
      <c r="AA80" s="15"/>
      <c r="AB80" s="15"/>
      <c r="AC80" s="114"/>
      <c r="AD80" s="115"/>
    </row>
    <row r="81" spans="1:30" s="24" customFormat="1" ht="15">
      <c r="A81" s="16">
        <v>12</v>
      </c>
      <c r="B81" s="107" t="s">
        <v>36</v>
      </c>
      <c r="C81" s="12">
        <f>C82+C83+C84+C85+C86</f>
        <v>1215.80278247</v>
      </c>
      <c r="D81" s="12">
        <f>D82+D83+D84+D85+D86</f>
        <v>1468.6500194499999</v>
      </c>
      <c r="E81" s="110">
        <f t="shared" ref="E81:E86" si="88">((D81-C81)/C81)*100</f>
        <v>20.796731231879619</v>
      </c>
      <c r="F81" s="12">
        <f>F82+F83+F84+F85+F86</f>
        <v>4456.3363856699998</v>
      </c>
      <c r="G81" s="12">
        <f>G82+G83+G84+G85+G86</f>
        <v>6460.6119452900002</v>
      </c>
      <c r="H81" s="110">
        <f t="shared" ref="H81:H86" si="89">((G81-F81)/F81)*100</f>
        <v>44.975858780882007</v>
      </c>
      <c r="I81" s="111">
        <f>(G81/G$179)*100</f>
        <v>4.8950745512530149</v>
      </c>
      <c r="J81" s="22">
        <f>J82+J83+J84+J85+J86</f>
        <v>52232</v>
      </c>
      <c r="K81" s="22">
        <f>K82+K83+K84+K85+K86</f>
        <v>61501</v>
      </c>
      <c r="L81" s="110">
        <f t="shared" ref="L81:L86" si="90">((K81-J81)/J81)*100</f>
        <v>17.745826313371111</v>
      </c>
      <c r="M81" s="22">
        <f>M82+M83+M84+M85+M86</f>
        <v>278085</v>
      </c>
      <c r="N81" s="22">
        <f>N82+N83+N84+N85+N86</f>
        <v>287123</v>
      </c>
      <c r="O81" s="110">
        <f t="shared" ref="O81:O86" si="91">((N81-M81)/M81)*100</f>
        <v>3.250085405541471</v>
      </c>
      <c r="P81" s="111">
        <f>(N81/N$179)*100</f>
        <v>2.7617944473814013</v>
      </c>
      <c r="Q81" s="22">
        <f>Q82+Q83+Q84+Q85+Q86</f>
        <v>1692487</v>
      </c>
      <c r="R81" s="22">
        <f>R82+R83+R84+R85+R86</f>
        <v>2373384</v>
      </c>
      <c r="S81" s="110">
        <f t="shared" ref="S81:S86" si="92">((R81-Q81)/Q81)*100</f>
        <v>40.230560116562195</v>
      </c>
      <c r="T81" s="22">
        <f>T82+T83+T84+T85+T86</f>
        <v>5540462</v>
      </c>
      <c r="U81" s="22">
        <f>U82+U83+U84+U85+U86</f>
        <v>9595656</v>
      </c>
      <c r="V81" s="110">
        <f t="shared" ref="V81:V86" si="93">((U81-T81)/T81)*100</f>
        <v>73.192343887567503</v>
      </c>
      <c r="W81" s="111">
        <f>(U81/U$179)*100</f>
        <v>12.086433694698663</v>
      </c>
      <c r="X81" s="12">
        <f>X82+X83+X84+X85+X86</f>
        <v>67205.817109539988</v>
      </c>
      <c r="Y81" s="12">
        <f>Y82+Y83+Y84+Y85+Y86</f>
        <v>59553.163358760001</v>
      </c>
      <c r="Z81" s="110">
        <f t="shared" ref="Z81:Z86" si="94">((Y81-X81)/X81)*100</f>
        <v>-11.386891908935185</v>
      </c>
      <c r="AA81" s="12">
        <f>AA82+AA83+AA84+AA85+AA86</f>
        <v>250339.29655788001</v>
      </c>
      <c r="AB81" s="12">
        <f>AB82+AB83+AB84+AB85+AB86</f>
        <v>337416.23455971002</v>
      </c>
      <c r="AC81" s="110">
        <f t="shared" ref="AC81:AC86" si="95">((AB81-AA81)/AA81)*100</f>
        <v>34.783567421943793</v>
      </c>
      <c r="AD81" s="111">
        <f>(AB81/AB$179)*100</f>
        <v>13.230197094945179</v>
      </c>
    </row>
    <row r="82" spans="1:30">
      <c r="A82" s="5"/>
      <c r="B82" s="108" t="s">
        <v>3</v>
      </c>
      <c r="C82" s="15">
        <v>188.51198531999998</v>
      </c>
      <c r="D82" s="113">
        <v>340.54687417000002</v>
      </c>
      <c r="E82" s="114">
        <f t="shared" si="88"/>
        <v>80.649985512549833</v>
      </c>
      <c r="F82" s="15">
        <v>863.42473383999993</v>
      </c>
      <c r="G82" s="113">
        <v>1519.1480148999999</v>
      </c>
      <c r="H82" s="114">
        <f t="shared" si="89"/>
        <v>75.944463409535729</v>
      </c>
      <c r="I82" s="115">
        <f>(G82/G$180)*100</f>
        <v>8.7403598242814784</v>
      </c>
      <c r="J82" s="103">
        <v>2136</v>
      </c>
      <c r="K82" s="103">
        <v>3340</v>
      </c>
      <c r="L82" s="114">
        <f t="shared" si="90"/>
        <v>56.36704119850188</v>
      </c>
      <c r="M82" s="103">
        <v>10101</v>
      </c>
      <c r="N82" s="103">
        <v>15381</v>
      </c>
      <c r="O82" s="114">
        <f t="shared" si="91"/>
        <v>52.272052272052271</v>
      </c>
      <c r="P82" s="115">
        <f>(N82/N$180)*100</f>
        <v>3.0317664311845594</v>
      </c>
      <c r="Q82" s="103">
        <v>0</v>
      </c>
      <c r="R82" s="103">
        <v>0</v>
      </c>
      <c r="S82" s="106" t="s">
        <v>57</v>
      </c>
      <c r="T82" s="103">
        <v>0</v>
      </c>
      <c r="U82" s="103">
        <v>0</v>
      </c>
      <c r="V82" s="106" t="s">
        <v>57</v>
      </c>
      <c r="W82" s="106" t="s">
        <v>57</v>
      </c>
      <c r="X82" s="15">
        <v>334.88843250000008</v>
      </c>
      <c r="Y82" s="15">
        <v>510.17429477000007</v>
      </c>
      <c r="Z82" s="114">
        <f t="shared" si="94"/>
        <v>52.341569686794109</v>
      </c>
      <c r="AA82" s="15">
        <v>1695.8348498100002</v>
      </c>
      <c r="AB82" s="15">
        <v>2131.4883598700003</v>
      </c>
      <c r="AC82" s="114">
        <f t="shared" si="95"/>
        <v>25.689618898255944</v>
      </c>
      <c r="AD82" s="115">
        <f>(AB82/AB$180)*100</f>
        <v>11.5012818095699</v>
      </c>
    </row>
    <row r="83" spans="1:30">
      <c r="A83" s="5"/>
      <c r="B83" s="108" t="s">
        <v>4</v>
      </c>
      <c r="C83" s="15">
        <v>423.33418205000004</v>
      </c>
      <c r="D83" s="113">
        <v>589.38906623000003</v>
      </c>
      <c r="E83" s="114">
        <f t="shared" si="88"/>
        <v>39.225484551206698</v>
      </c>
      <c r="F83" s="15">
        <v>1798.1503586099998</v>
      </c>
      <c r="G83" s="113">
        <v>2435.8607807999997</v>
      </c>
      <c r="H83" s="114">
        <f t="shared" si="89"/>
        <v>35.464799655739618</v>
      </c>
      <c r="I83" s="115">
        <f>(G83/G$181)*100</f>
        <v>7.562576867099863</v>
      </c>
      <c r="J83" s="103">
        <v>49840</v>
      </c>
      <c r="K83" s="103">
        <v>58118</v>
      </c>
      <c r="L83" s="114">
        <f t="shared" si="90"/>
        <v>16.609149277688605</v>
      </c>
      <c r="M83" s="103">
        <v>266615</v>
      </c>
      <c r="N83" s="103">
        <v>270897</v>
      </c>
      <c r="O83" s="114">
        <f t="shared" si="91"/>
        <v>1.606061174352531</v>
      </c>
      <c r="P83" s="115">
        <f>(N83/N$181)*100</f>
        <v>2.7435852665915319</v>
      </c>
      <c r="Q83" s="103">
        <v>0</v>
      </c>
      <c r="R83" s="103">
        <v>0</v>
      </c>
      <c r="S83" s="106" t="s">
        <v>57</v>
      </c>
      <c r="T83" s="103">
        <v>0</v>
      </c>
      <c r="U83" s="103">
        <v>0</v>
      </c>
      <c r="V83" s="106" t="s">
        <v>57</v>
      </c>
      <c r="W83" s="106" t="s">
        <v>57</v>
      </c>
      <c r="X83" s="15">
        <v>15684.355862300001</v>
      </c>
      <c r="Y83" s="15">
        <v>17133.223449900001</v>
      </c>
      <c r="Z83" s="114">
        <f t="shared" si="94"/>
        <v>9.2376607641414061</v>
      </c>
      <c r="AA83" s="15">
        <v>104514.3431768</v>
      </c>
      <c r="AB83" s="15">
        <v>95779.717816799995</v>
      </c>
      <c r="AC83" s="114">
        <f t="shared" si="95"/>
        <v>-8.3573460775849853</v>
      </c>
      <c r="AD83" s="115">
        <f>(AB83/AB$181)*100</f>
        <v>11.780084757605493</v>
      </c>
    </row>
    <row r="84" spans="1:30">
      <c r="A84" s="5"/>
      <c r="B84" s="108" t="s">
        <v>5</v>
      </c>
      <c r="C84" s="15">
        <v>192.89511368000001</v>
      </c>
      <c r="D84" s="113">
        <v>283.13083290999998</v>
      </c>
      <c r="E84" s="114">
        <f t="shared" si="88"/>
        <v>46.779681200061368</v>
      </c>
      <c r="F84" s="15">
        <v>620.30196703000001</v>
      </c>
      <c r="G84" s="113">
        <v>1108.8767743399999</v>
      </c>
      <c r="H84" s="114">
        <f t="shared" si="89"/>
        <v>78.764026760916366</v>
      </c>
      <c r="I84" s="115">
        <f>(G84/G$182)*100</f>
        <v>1.429586296454977</v>
      </c>
      <c r="J84" s="103">
        <v>6</v>
      </c>
      <c r="K84" s="103">
        <v>15</v>
      </c>
      <c r="L84" s="114">
        <f t="shared" si="90"/>
        <v>150</v>
      </c>
      <c r="M84" s="103">
        <v>27</v>
      </c>
      <c r="N84" s="103">
        <v>56</v>
      </c>
      <c r="O84" s="114">
        <f t="shared" si="91"/>
        <v>107.40740740740742</v>
      </c>
      <c r="P84" s="115">
        <f>(N84/N$182)*100</f>
        <v>9.5563139931740615</v>
      </c>
      <c r="Q84" s="103">
        <v>1429860</v>
      </c>
      <c r="R84" s="103">
        <v>2140300</v>
      </c>
      <c r="S84" s="114">
        <f t="shared" si="92"/>
        <v>49.685983243114713</v>
      </c>
      <c r="T84" s="103">
        <v>4256057</v>
      </c>
      <c r="U84" s="103">
        <v>7855102</v>
      </c>
      <c r="V84" s="114">
        <f t="shared" si="93"/>
        <v>84.562894716870574</v>
      </c>
      <c r="W84" s="115">
        <f>(U84/U$182)*100</f>
        <v>17.17986781843554</v>
      </c>
      <c r="X84" s="15">
        <v>10664.411806999999</v>
      </c>
      <c r="Y84" s="15">
        <v>17955.1019662</v>
      </c>
      <c r="Z84" s="114">
        <f t="shared" si="94"/>
        <v>68.364672062030422</v>
      </c>
      <c r="AA84" s="15">
        <v>38659.624881700001</v>
      </c>
      <c r="AB84" s="15">
        <v>75582.11752</v>
      </c>
      <c r="AC84" s="114">
        <f t="shared" si="95"/>
        <v>95.506598295467953</v>
      </c>
      <c r="AD84" s="115">
        <f>(AB84/AB$182)*100</f>
        <v>13.60340970217452</v>
      </c>
    </row>
    <row r="85" spans="1:30">
      <c r="A85" s="5"/>
      <c r="B85" s="108" t="s">
        <v>6</v>
      </c>
      <c r="C85" s="15">
        <v>0</v>
      </c>
      <c r="D85" s="113">
        <v>4.4573299999999996E-2</v>
      </c>
      <c r="E85" s="106" t="s">
        <v>57</v>
      </c>
      <c r="F85" s="15">
        <v>0</v>
      </c>
      <c r="G85" s="113">
        <v>0.18667999999999998</v>
      </c>
      <c r="H85" s="106" t="s">
        <v>57</v>
      </c>
      <c r="I85" s="115">
        <f>(G85/G$183)*100</f>
        <v>2.0002674928237887E-2</v>
      </c>
      <c r="J85" s="103">
        <v>0</v>
      </c>
      <c r="K85" s="103">
        <v>0</v>
      </c>
      <c r="L85" s="106" t="s">
        <v>57</v>
      </c>
      <c r="M85" s="103">
        <v>0</v>
      </c>
      <c r="N85" s="103">
        <v>0</v>
      </c>
      <c r="O85" s="106" t="s">
        <v>57</v>
      </c>
      <c r="P85" s="115">
        <f>(N85/N$183)*100</f>
        <v>0</v>
      </c>
      <c r="Q85" s="103">
        <v>0</v>
      </c>
      <c r="R85" s="103">
        <v>0</v>
      </c>
      <c r="S85" s="106" t="s">
        <v>57</v>
      </c>
      <c r="T85" s="103">
        <v>0</v>
      </c>
      <c r="U85" s="103">
        <v>163</v>
      </c>
      <c r="V85" s="106" t="s">
        <v>57</v>
      </c>
      <c r="W85" s="115">
        <f>(U85/U$183)*100</f>
        <v>8.0809763405868765E-3</v>
      </c>
      <c r="X85" s="15">
        <v>0</v>
      </c>
      <c r="Y85" s="15">
        <v>0</v>
      </c>
      <c r="Z85" s="106" t="s">
        <v>57</v>
      </c>
      <c r="AA85" s="15">
        <v>0</v>
      </c>
      <c r="AB85" s="15">
        <v>173.1814995</v>
      </c>
      <c r="AC85" s="106" t="s">
        <v>57</v>
      </c>
      <c r="AD85" s="115">
        <f>(AB85/AB$183)*100</f>
        <v>0.11917914936144487</v>
      </c>
    </row>
    <row r="86" spans="1:30">
      <c r="A86" s="5"/>
      <c r="B86" s="108" t="s">
        <v>25</v>
      </c>
      <c r="C86" s="15">
        <v>411.06150142000001</v>
      </c>
      <c r="D86" s="113">
        <v>255.53867284</v>
      </c>
      <c r="E86" s="114">
        <f t="shared" si="88"/>
        <v>-37.83444278842726</v>
      </c>
      <c r="F86" s="15">
        <v>1174.45932619</v>
      </c>
      <c r="G86" s="113">
        <v>1396.5396952500002</v>
      </c>
      <c r="H86" s="114">
        <f t="shared" si="89"/>
        <v>18.909157951041117</v>
      </c>
      <c r="I86" s="115">
        <f>(G86/G$184)*100</f>
        <v>35.881370911828256</v>
      </c>
      <c r="J86" s="103">
        <v>250</v>
      </c>
      <c r="K86" s="103">
        <v>28</v>
      </c>
      <c r="L86" s="114">
        <f t="shared" si="90"/>
        <v>-88.8</v>
      </c>
      <c r="M86" s="103">
        <v>1342</v>
      </c>
      <c r="N86" s="103">
        <v>789</v>
      </c>
      <c r="O86" s="114">
        <f t="shared" si="91"/>
        <v>-41.207153502235471</v>
      </c>
      <c r="P86" s="115">
        <f>(N86/N$184)*100</f>
        <v>7.1106705118961795</v>
      </c>
      <c r="Q86" s="103">
        <v>262627</v>
      </c>
      <c r="R86" s="103">
        <v>233084</v>
      </c>
      <c r="S86" s="114">
        <f t="shared" si="92"/>
        <v>-11.249033800789714</v>
      </c>
      <c r="T86" s="103">
        <v>1284405</v>
      </c>
      <c r="U86" s="103">
        <v>1740391</v>
      </c>
      <c r="V86" s="114">
        <f t="shared" si="93"/>
        <v>35.501730373207828</v>
      </c>
      <c r="W86" s="115">
        <f>(U86/U$184)*100</f>
        <v>5.4984909875178491</v>
      </c>
      <c r="X86" s="15">
        <v>40522.161007739996</v>
      </c>
      <c r="Y86" s="15">
        <v>23954.663647889996</v>
      </c>
      <c r="Z86" s="114">
        <f t="shared" si="94"/>
        <v>-40.885029198431695</v>
      </c>
      <c r="AA86" s="15">
        <v>105469.49364956999</v>
      </c>
      <c r="AB86" s="15">
        <v>163749.72936354001</v>
      </c>
      <c r="AC86" s="114">
        <f t="shared" si="95"/>
        <v>55.257907947875715</v>
      </c>
      <c r="AD86" s="115">
        <f>(AB86/AB$184)*100</f>
        <v>16.088146775572572</v>
      </c>
    </row>
    <row r="87" spans="1:30">
      <c r="A87" s="5"/>
      <c r="B87" s="25"/>
      <c r="C87" s="15"/>
      <c r="D87" s="113"/>
      <c r="E87" s="114"/>
      <c r="F87" s="15"/>
      <c r="G87" s="113"/>
      <c r="H87" s="114"/>
      <c r="I87" s="115"/>
      <c r="J87" s="103"/>
      <c r="K87" s="103"/>
      <c r="L87" s="114"/>
      <c r="M87" s="103"/>
      <c r="N87" s="103"/>
      <c r="O87" s="114"/>
      <c r="P87" s="115"/>
      <c r="Q87" s="103"/>
      <c r="R87" s="103"/>
      <c r="S87" s="114"/>
      <c r="T87" s="103"/>
      <c r="U87" s="103"/>
      <c r="V87" s="114"/>
      <c r="W87" s="115"/>
      <c r="X87" s="15"/>
      <c r="Y87" s="15"/>
      <c r="Z87" s="114"/>
      <c r="AA87" s="15"/>
      <c r="AB87" s="15"/>
      <c r="AC87" s="114"/>
      <c r="AD87" s="115"/>
    </row>
    <row r="88" spans="1:30" s="24" customFormat="1" ht="15">
      <c r="A88" s="16">
        <v>13</v>
      </c>
      <c r="B88" s="107" t="s">
        <v>38</v>
      </c>
      <c r="C88" s="12">
        <f>C89+C90+C91+C92+C93</f>
        <v>126.56041881099988</v>
      </c>
      <c r="D88" s="12">
        <f>D89+D90+D91+D92+D93</f>
        <v>216.47794850300014</v>
      </c>
      <c r="E88" s="110">
        <f t="shared" ref="E88:E92" si="96">((D88-C88)/C88)*100</f>
        <v>71.047117682408583</v>
      </c>
      <c r="F88" s="12">
        <f>F89+F90+F91+F92+F93</f>
        <v>832.99852992500689</v>
      </c>
      <c r="G88" s="12">
        <f>G89+G90+G91+G92+G93</f>
        <v>1094.0097148007444</v>
      </c>
      <c r="H88" s="110">
        <f t="shared" ref="H88:H92" si="97">((G88-F88)/F88)*100</f>
        <v>31.33393103337599</v>
      </c>
      <c r="I88" s="111">
        <f>(G88/G$179)*100</f>
        <v>0.82890895771086415</v>
      </c>
      <c r="J88" s="22">
        <f>J89+J90+J91+J92+J93</f>
        <v>18102</v>
      </c>
      <c r="K88" s="22">
        <f>K89+K90+K91+K92+K93</f>
        <v>25824</v>
      </c>
      <c r="L88" s="110">
        <f t="shared" ref="L88:L91" si="98">((K88-J88)/J88)*100</f>
        <v>42.658269804441495</v>
      </c>
      <c r="M88" s="22">
        <f>M89+M90+M91+M92+M93</f>
        <v>73257</v>
      </c>
      <c r="N88" s="22">
        <f>N89+N90+N91+N92+N93</f>
        <v>102101</v>
      </c>
      <c r="O88" s="110">
        <f t="shared" ref="O88:O92" si="99">((N88-M88)/M88)*100</f>
        <v>39.373711727206953</v>
      </c>
      <c r="P88" s="111">
        <f>(N88/N$179)*100</f>
        <v>0.98209469416274031</v>
      </c>
      <c r="Q88" s="22">
        <f>Q89+Q90+Q91+Q92+Q93</f>
        <v>155123</v>
      </c>
      <c r="R88" s="22">
        <f>R89+R90+R91+R92+R93</f>
        <v>811644</v>
      </c>
      <c r="S88" s="110">
        <f t="shared" ref="S88:S92" si="100">((R88-Q88)/Q88)*100</f>
        <v>423.22608510665731</v>
      </c>
      <c r="T88" s="22">
        <f>T89+T90+T91+T92+T93</f>
        <v>1235845</v>
      </c>
      <c r="U88" s="22">
        <f>U89+U90+U91+U92+U93</f>
        <v>2521701</v>
      </c>
      <c r="V88" s="110">
        <f t="shared" ref="V88:V92" si="101">((U88-T88)/T88)*100</f>
        <v>104.04670488613054</v>
      </c>
      <c r="W88" s="111">
        <f>(U88/U$179)*100</f>
        <v>3.176267670949783</v>
      </c>
      <c r="X88" s="12">
        <f>X89+X90+X91+X92+X93</f>
        <v>7522.0929235100066</v>
      </c>
      <c r="Y88" s="12">
        <f>Y89+Y90+Y91+Y92+Y93</f>
        <v>22182.326232050003</v>
      </c>
      <c r="Z88" s="110">
        <f t="shared" ref="Z88:Z92" si="102">((Y88-X88)/X88)*100</f>
        <v>194.89566876686689</v>
      </c>
      <c r="AA88" s="12">
        <f>AA89+AA90+AA91+AA92+AA93</f>
        <v>58829.908446600013</v>
      </c>
      <c r="AB88" s="12">
        <f>AB89+AB90+AB91+AB92+AB93</f>
        <v>143016.72126300001</v>
      </c>
      <c r="AC88" s="110">
        <f t="shared" ref="AC88:AC92" si="103">((AB88-AA88)/AA88)*100</f>
        <v>143.10206328608598</v>
      </c>
      <c r="AD88" s="111">
        <f>(AB88/AB$179)*100</f>
        <v>5.6077307976936996</v>
      </c>
    </row>
    <row r="89" spans="1:30" s="27" customFormat="1">
      <c r="A89" s="5"/>
      <c r="B89" s="108" t="s">
        <v>3</v>
      </c>
      <c r="C89" s="112">
        <v>2.7798872000000006</v>
      </c>
      <c r="D89" s="11">
        <v>6.1746483999999988</v>
      </c>
      <c r="E89" s="114">
        <f t="shared" si="96"/>
        <v>122.11866726103122</v>
      </c>
      <c r="F89" s="112">
        <v>9.0228277000000006</v>
      </c>
      <c r="G89" s="11">
        <v>30.9934954</v>
      </c>
      <c r="H89" s="114">
        <f t="shared" si="97"/>
        <v>243.50091158229694</v>
      </c>
      <c r="I89" s="115">
        <f>(G89/G$180)*100</f>
        <v>0.17831988677287958</v>
      </c>
      <c r="J89" s="116">
        <v>64</v>
      </c>
      <c r="K89" s="116">
        <v>166</v>
      </c>
      <c r="L89" s="114">
        <f t="shared" si="98"/>
        <v>159.375</v>
      </c>
      <c r="M89" s="116">
        <v>359</v>
      </c>
      <c r="N89" s="116">
        <v>771</v>
      </c>
      <c r="O89" s="114">
        <f t="shared" si="99"/>
        <v>114.76323119777159</v>
      </c>
      <c r="P89" s="115">
        <f>(N89/N$180)*100</f>
        <v>0.1519726882805601</v>
      </c>
      <c r="Q89" s="116">
        <v>0</v>
      </c>
      <c r="R89" s="116">
        <v>0</v>
      </c>
      <c r="S89" s="106" t="s">
        <v>57</v>
      </c>
      <c r="T89" s="116">
        <v>0</v>
      </c>
      <c r="U89" s="116">
        <v>0</v>
      </c>
      <c r="V89" s="106" t="s">
        <v>57</v>
      </c>
      <c r="W89" s="106" t="s">
        <v>57</v>
      </c>
      <c r="X89" s="112">
        <v>3.8449365000000006</v>
      </c>
      <c r="Y89" s="112">
        <v>10.417797</v>
      </c>
      <c r="Z89" s="114">
        <f t="shared" si="102"/>
        <v>170.94847990337416</v>
      </c>
      <c r="AA89" s="112">
        <v>18.449625600000001</v>
      </c>
      <c r="AB89" s="112">
        <v>51.516218000000009</v>
      </c>
      <c r="AC89" s="114">
        <f t="shared" si="103"/>
        <v>179.22636001892636</v>
      </c>
      <c r="AD89" s="115">
        <f>(AB89/AB$180)*100</f>
        <v>0.27797596840612082</v>
      </c>
    </row>
    <row r="90" spans="1:30">
      <c r="A90" s="5"/>
      <c r="B90" s="108" t="s">
        <v>4</v>
      </c>
      <c r="C90" s="112">
        <v>81.826552299999989</v>
      </c>
      <c r="D90" s="11">
        <v>132.02556668000003</v>
      </c>
      <c r="E90" s="114">
        <f t="shared" si="96"/>
        <v>61.34807463958132</v>
      </c>
      <c r="F90" s="112">
        <v>278.75441139999998</v>
      </c>
      <c r="G90" s="11">
        <v>492.29033649999997</v>
      </c>
      <c r="H90" s="114">
        <f t="shared" si="97"/>
        <v>76.603603877531313</v>
      </c>
      <c r="I90" s="115">
        <f>(G90/G$181)*100</f>
        <v>1.5284057036662755</v>
      </c>
      <c r="J90" s="116">
        <v>18021</v>
      </c>
      <c r="K90" s="116">
        <v>25641</v>
      </c>
      <c r="L90" s="114">
        <f t="shared" si="98"/>
        <v>42.284001997669385</v>
      </c>
      <c r="M90" s="116">
        <v>72802</v>
      </c>
      <c r="N90" s="116">
        <v>101152</v>
      </c>
      <c r="O90" s="114">
        <f t="shared" si="99"/>
        <v>38.941237878080273</v>
      </c>
      <c r="P90" s="115">
        <f>(N90/N$181)*100</f>
        <v>1.0244452204574679</v>
      </c>
      <c r="Q90" s="116">
        <v>0</v>
      </c>
      <c r="R90" s="116">
        <v>0</v>
      </c>
      <c r="S90" s="106" t="s">
        <v>57</v>
      </c>
      <c r="T90" s="116">
        <v>0</v>
      </c>
      <c r="U90" s="116">
        <v>0</v>
      </c>
      <c r="V90" s="106" t="s">
        <v>57</v>
      </c>
      <c r="W90" s="106" t="s">
        <v>57</v>
      </c>
      <c r="X90" s="112">
        <v>920.0182139100001</v>
      </c>
      <c r="Y90" s="112">
        <v>2158.5393413699999</v>
      </c>
      <c r="Z90" s="114">
        <f t="shared" si="102"/>
        <v>134.61919652616322</v>
      </c>
      <c r="AA90" s="112">
        <v>8245.6397280000001</v>
      </c>
      <c r="AB90" s="112">
        <v>12127.174335499998</v>
      </c>
      <c r="AC90" s="114">
        <f t="shared" si="103"/>
        <v>47.073783666770431</v>
      </c>
      <c r="AD90" s="115">
        <f>(AB90/AB$181)*100</f>
        <v>1.4915385511544095</v>
      </c>
    </row>
    <row r="91" spans="1:30">
      <c r="A91" s="5"/>
      <c r="B91" s="108" t="s">
        <v>5</v>
      </c>
      <c r="C91" s="112">
        <v>41.894705354999886</v>
      </c>
      <c r="D91" s="11">
        <v>78.253088274100122</v>
      </c>
      <c r="E91" s="114">
        <f t="shared" si="96"/>
        <v>86.785150082839948</v>
      </c>
      <c r="F91" s="112">
        <v>544.93807331300695</v>
      </c>
      <c r="G91" s="11">
        <v>570.36185892174444</v>
      </c>
      <c r="H91" s="114">
        <f t="shared" si="97"/>
        <v>4.6654449108631697</v>
      </c>
      <c r="I91" s="115">
        <f>(G91/G$182)*100</f>
        <v>0.73532200908475631</v>
      </c>
      <c r="J91" s="116">
        <v>17</v>
      </c>
      <c r="K91" s="116">
        <v>17</v>
      </c>
      <c r="L91" s="114">
        <f t="shared" si="98"/>
        <v>0</v>
      </c>
      <c r="M91" s="116">
        <v>94</v>
      </c>
      <c r="N91" s="116">
        <v>178</v>
      </c>
      <c r="O91" s="114">
        <f t="shared" si="99"/>
        <v>89.361702127659569</v>
      </c>
      <c r="P91" s="115">
        <f>(N91/N$182)*100</f>
        <v>30.375426621160411</v>
      </c>
      <c r="Q91" s="116">
        <v>155072</v>
      </c>
      <c r="R91" s="116">
        <v>811627</v>
      </c>
      <c r="S91" s="114">
        <f t="shared" si="100"/>
        <v>423.38720078415184</v>
      </c>
      <c r="T91" s="116">
        <v>1235620</v>
      </c>
      <c r="U91" s="116">
        <v>2521427</v>
      </c>
      <c r="V91" s="114">
        <f t="shared" si="101"/>
        <v>104.06168563150484</v>
      </c>
      <c r="W91" s="115">
        <f>(U91/U$182)*100</f>
        <v>5.5146047210888502</v>
      </c>
      <c r="X91" s="112">
        <v>6584.9245758000061</v>
      </c>
      <c r="Y91" s="112">
        <v>20007.769895080004</v>
      </c>
      <c r="Z91" s="114">
        <f t="shared" si="102"/>
        <v>203.8420511088276</v>
      </c>
      <c r="AA91" s="112">
        <v>50481.942635800013</v>
      </c>
      <c r="AB91" s="112">
        <v>130745.06935900002</v>
      </c>
      <c r="AC91" s="114">
        <f t="shared" si="103"/>
        <v>158.99373624001589</v>
      </c>
      <c r="AD91" s="115">
        <f>(AB91/AB$182)*100</f>
        <v>23.531740091286363</v>
      </c>
    </row>
    <row r="92" spans="1:30">
      <c r="A92" s="5"/>
      <c r="B92" s="108" t="s">
        <v>6</v>
      </c>
      <c r="C92" s="112">
        <v>5.9273956000000003E-2</v>
      </c>
      <c r="D92" s="11">
        <v>2.4645148899999997E-2</v>
      </c>
      <c r="E92" s="114">
        <f t="shared" si="96"/>
        <v>-58.421622980588651</v>
      </c>
      <c r="F92" s="112">
        <v>0.283217512</v>
      </c>
      <c r="G92" s="11">
        <v>0.36402397900000005</v>
      </c>
      <c r="H92" s="114">
        <f t="shared" si="97"/>
        <v>28.531592707445309</v>
      </c>
      <c r="I92" s="115">
        <f>(G92/G$183)*100</f>
        <v>3.9004999560856519E-2</v>
      </c>
      <c r="J92" s="116">
        <v>0</v>
      </c>
      <c r="K92" s="116">
        <v>0</v>
      </c>
      <c r="L92" s="106" t="s">
        <v>57</v>
      </c>
      <c r="M92" s="116">
        <v>2</v>
      </c>
      <c r="N92" s="116">
        <v>0</v>
      </c>
      <c r="O92" s="114">
        <f t="shared" si="99"/>
        <v>-100</v>
      </c>
      <c r="P92" s="115">
        <f>(N92/N$183)*100</f>
        <v>0</v>
      </c>
      <c r="Q92" s="116">
        <v>51</v>
      </c>
      <c r="R92" s="116">
        <v>17</v>
      </c>
      <c r="S92" s="114">
        <f t="shared" si="100"/>
        <v>-66.666666666666657</v>
      </c>
      <c r="T92" s="116">
        <v>225</v>
      </c>
      <c r="U92" s="116">
        <v>274</v>
      </c>
      <c r="V92" s="114">
        <f t="shared" si="101"/>
        <v>21.777777777777775</v>
      </c>
      <c r="W92" s="115">
        <f>(U92/U$183)*100</f>
        <v>1.3583972498900639E-2</v>
      </c>
      <c r="X92" s="112">
        <v>13.3051973</v>
      </c>
      <c r="Y92" s="112">
        <v>5.599198600000018</v>
      </c>
      <c r="Z92" s="114">
        <f t="shared" si="102"/>
        <v>-57.917207285606978</v>
      </c>
      <c r="AA92" s="112">
        <v>83.876457200000004</v>
      </c>
      <c r="AB92" s="112">
        <v>92.961350500000009</v>
      </c>
      <c r="AC92" s="114">
        <f t="shared" si="103"/>
        <v>10.831279244827241</v>
      </c>
      <c r="AD92" s="115">
        <f>(AB92/AB$183)*100</f>
        <v>6.3973661782973132E-2</v>
      </c>
    </row>
    <row r="93" spans="1:30">
      <c r="A93" s="5"/>
      <c r="B93" s="108" t="s">
        <v>25</v>
      </c>
      <c r="C93" s="112">
        <v>0</v>
      </c>
      <c r="D93" s="11">
        <v>0</v>
      </c>
      <c r="E93" s="106" t="s">
        <v>57</v>
      </c>
      <c r="F93" s="112">
        <v>0</v>
      </c>
      <c r="G93" s="11">
        <v>0</v>
      </c>
      <c r="H93" s="106" t="s">
        <v>57</v>
      </c>
      <c r="I93" s="115">
        <f>(G93/G$184)*100</f>
        <v>0</v>
      </c>
      <c r="J93" s="116">
        <v>0</v>
      </c>
      <c r="K93" s="116">
        <v>0</v>
      </c>
      <c r="L93" s="106" t="s">
        <v>57</v>
      </c>
      <c r="M93" s="116">
        <v>0</v>
      </c>
      <c r="N93" s="116">
        <v>0</v>
      </c>
      <c r="O93" s="106" t="s">
        <v>57</v>
      </c>
      <c r="P93" s="115">
        <f>(N93/N$184)*100</f>
        <v>0</v>
      </c>
      <c r="Q93" s="116">
        <v>0</v>
      </c>
      <c r="R93" s="116">
        <v>0</v>
      </c>
      <c r="S93" s="106" t="s">
        <v>57</v>
      </c>
      <c r="T93" s="116">
        <v>0</v>
      </c>
      <c r="U93" s="116">
        <v>0</v>
      </c>
      <c r="V93" s="106" t="s">
        <v>57</v>
      </c>
      <c r="W93" s="115">
        <f>(U93/U$184)*100</f>
        <v>0</v>
      </c>
      <c r="X93" s="112">
        <v>0</v>
      </c>
      <c r="Y93" s="112">
        <v>0</v>
      </c>
      <c r="Z93" s="106" t="s">
        <v>57</v>
      </c>
      <c r="AA93" s="112">
        <v>0</v>
      </c>
      <c r="AB93" s="112">
        <v>0</v>
      </c>
      <c r="AC93" s="106" t="s">
        <v>57</v>
      </c>
      <c r="AD93" s="115">
        <f>(AB93/AB$184)*100</f>
        <v>0</v>
      </c>
    </row>
    <row r="94" spans="1:30">
      <c r="A94" s="5"/>
      <c r="B94" s="108"/>
      <c r="C94" s="112"/>
      <c r="D94" s="11"/>
      <c r="E94" s="114"/>
      <c r="F94" s="112"/>
      <c r="G94" s="11"/>
      <c r="H94" s="114"/>
      <c r="I94" s="115"/>
      <c r="J94" s="116"/>
      <c r="K94" s="116"/>
      <c r="L94" s="114"/>
      <c r="M94" s="116"/>
      <c r="N94" s="116"/>
      <c r="O94" s="114"/>
      <c r="P94" s="115"/>
      <c r="Q94" s="116"/>
      <c r="R94" s="116"/>
      <c r="S94" s="114"/>
      <c r="T94" s="116"/>
      <c r="U94" s="116"/>
      <c r="V94" s="114"/>
      <c r="W94" s="115"/>
      <c r="X94" s="112"/>
      <c r="Y94" s="112"/>
      <c r="Z94" s="114"/>
      <c r="AA94" s="112"/>
      <c r="AB94" s="112"/>
      <c r="AC94" s="114"/>
      <c r="AD94" s="115"/>
    </row>
    <row r="95" spans="1:30" s="24" customFormat="1" ht="15">
      <c r="A95" s="16">
        <v>14</v>
      </c>
      <c r="B95" s="107" t="s">
        <v>50</v>
      </c>
      <c r="C95" s="12">
        <f>C96+C97+C98+C99+C100</f>
        <v>481.3798931420007</v>
      </c>
      <c r="D95" s="12">
        <f>D96+D97+D98+D99+D100</f>
        <v>618.86825490600052</v>
      </c>
      <c r="E95" s="110">
        <f t="shared" ref="E95:E100" si="104">((D95-C95)/C95)*100</f>
        <v>28.561301317885036</v>
      </c>
      <c r="F95" s="12">
        <f>F96+F97+F98+F99+F100</f>
        <v>1655.2767402820014</v>
      </c>
      <c r="G95" s="12">
        <f>G96+G97+G98+G99+G100</f>
        <v>2164.1513852460016</v>
      </c>
      <c r="H95" s="110">
        <f t="shared" ref="H95:H100" si="105">((G95-F95)/F95)*100</f>
        <v>30.742572077543105</v>
      </c>
      <c r="I95" s="111">
        <f>(G95/G$179)*100</f>
        <v>1.6397335826213499</v>
      </c>
      <c r="J95" s="22">
        <f>J96+J97+J98+J99+J100</f>
        <v>31826</v>
      </c>
      <c r="K95" s="22">
        <f>K96+K97+K98+K99+K100</f>
        <v>28204</v>
      </c>
      <c r="L95" s="110">
        <f t="shared" ref="L95:L100" si="106">((K95-J95)/J95)*100</f>
        <v>-11.380632187519637</v>
      </c>
      <c r="M95" s="22">
        <f>M96+M97+M98+M99+M100</f>
        <v>138679</v>
      </c>
      <c r="N95" s="22">
        <f>N96+N97+N98+N99+N100</f>
        <v>116050</v>
      </c>
      <c r="O95" s="110">
        <f t="shared" ref="O95:O100" si="107">((N95-M95)/M95)*100</f>
        <v>-16.317539065035081</v>
      </c>
      <c r="P95" s="111">
        <f>(N95/N$179)*100</f>
        <v>1.1162680997990815</v>
      </c>
      <c r="Q95" s="22">
        <f>Q96+Q97+Q98+Q99+Q100</f>
        <v>1191908</v>
      </c>
      <c r="R95" s="22">
        <f>R96+R97+R98+R99+R100</f>
        <v>1820245</v>
      </c>
      <c r="S95" s="110">
        <f t="shared" ref="S95:S100" si="108">((R95-Q95)/Q95)*100</f>
        <v>52.716904324830438</v>
      </c>
      <c r="T95" s="22">
        <f>T96+T97+T98+T99+T100</f>
        <v>4378830</v>
      </c>
      <c r="U95" s="22">
        <f>U96+U97+U98+U99+U100</f>
        <v>7839099</v>
      </c>
      <c r="V95" s="110">
        <f t="shared" ref="V95:V100" si="109">((U95-T95)/T95)*100</f>
        <v>79.022684141654281</v>
      </c>
      <c r="W95" s="111">
        <f>(U95/U$179)*100</f>
        <v>9.8739211044746291</v>
      </c>
      <c r="X95" s="12">
        <f>X96+X97+X98+X99+X100</f>
        <v>17744.407403868001</v>
      </c>
      <c r="Y95" s="12">
        <f>Y96+Y97+Y98+Y99+Y100</f>
        <v>19845.052711964978</v>
      </c>
      <c r="Z95" s="110">
        <f t="shared" ref="Z95:Z100" si="110">((Y95-X95)/X95)*100</f>
        <v>11.838351432570631</v>
      </c>
      <c r="AA95" s="12">
        <f>AA96+AA97+AA98+AA99+AA100</f>
        <v>70967.944265562997</v>
      </c>
      <c r="AB95" s="12">
        <f>AB96+AB97+AB98+AB99+AB100</f>
        <v>86925.087757835048</v>
      </c>
      <c r="AC95" s="110">
        <f t="shared" ref="AC95:AC100" si="111">((AB95-AA95)/AA95)*100</f>
        <v>22.485001724948106</v>
      </c>
      <c r="AD95" s="111">
        <f>(AB95/AB$179)*100</f>
        <v>3.4083601372418575</v>
      </c>
    </row>
    <row r="96" spans="1:30">
      <c r="A96" s="5"/>
      <c r="B96" s="108" t="s">
        <v>3</v>
      </c>
      <c r="C96" s="15">
        <v>96.499777699999981</v>
      </c>
      <c r="D96" s="11">
        <v>89.138395000000003</v>
      </c>
      <c r="E96" s="114">
        <f t="shared" si="104"/>
        <v>-7.6283934278948919</v>
      </c>
      <c r="F96" s="15">
        <v>388.99734650000005</v>
      </c>
      <c r="G96" s="11">
        <v>443.2256888</v>
      </c>
      <c r="H96" s="114">
        <f t="shared" si="105"/>
        <v>13.940542985169166</v>
      </c>
      <c r="I96" s="115">
        <f>(G96/G$180)*100</f>
        <v>2.5500819969356399</v>
      </c>
      <c r="J96" s="103">
        <v>6493</v>
      </c>
      <c r="K96" s="103">
        <v>3048</v>
      </c>
      <c r="L96" s="114">
        <f t="shared" si="106"/>
        <v>-53.057138456799635</v>
      </c>
      <c r="M96" s="103">
        <v>18966</v>
      </c>
      <c r="N96" s="103">
        <v>10721</v>
      </c>
      <c r="O96" s="114">
        <f t="shared" si="107"/>
        <v>-43.472529790150794</v>
      </c>
      <c r="P96" s="115">
        <f>(N96/N$180)*100</f>
        <v>2.1132285227702789</v>
      </c>
      <c r="Q96" s="103">
        <v>0</v>
      </c>
      <c r="R96" s="103">
        <v>0</v>
      </c>
      <c r="S96" s="106" t="s">
        <v>57</v>
      </c>
      <c r="T96" s="103">
        <v>0</v>
      </c>
      <c r="U96" s="103">
        <v>0</v>
      </c>
      <c r="V96" s="106" t="s">
        <v>57</v>
      </c>
      <c r="W96" s="106" t="s">
        <v>57</v>
      </c>
      <c r="X96" s="15">
        <v>672.81908759999988</v>
      </c>
      <c r="Y96" s="15">
        <v>666.20427050000001</v>
      </c>
      <c r="Z96" s="114">
        <f t="shared" si="110"/>
        <v>-0.98314944119606595</v>
      </c>
      <c r="AA96" s="15">
        <v>2658.6247702999999</v>
      </c>
      <c r="AB96" s="15">
        <v>3238.3792615999996</v>
      </c>
      <c r="AC96" s="114">
        <f t="shared" si="111"/>
        <v>21.806555696634845</v>
      </c>
      <c r="AD96" s="115">
        <f>(AB96/AB$180)*100</f>
        <v>17.473945997152939</v>
      </c>
    </row>
    <row r="97" spans="1:30">
      <c r="A97" s="5"/>
      <c r="B97" s="108" t="s">
        <v>4</v>
      </c>
      <c r="C97" s="15">
        <v>128.39433180000088</v>
      </c>
      <c r="D97" s="11">
        <v>166.07830554500066</v>
      </c>
      <c r="E97" s="114">
        <f t="shared" si="104"/>
        <v>29.350184869297724</v>
      </c>
      <c r="F97" s="15">
        <v>558.98545601000126</v>
      </c>
      <c r="G97" s="11">
        <v>626.0801731650015</v>
      </c>
      <c r="H97" s="114">
        <f t="shared" si="105"/>
        <v>12.00294505583698</v>
      </c>
      <c r="I97" s="115">
        <f>(G97/G$181)*100</f>
        <v>1.9437808071167733</v>
      </c>
      <c r="J97" s="103">
        <v>25265</v>
      </c>
      <c r="K97" s="103">
        <v>25115</v>
      </c>
      <c r="L97" s="114">
        <f t="shared" si="106"/>
        <v>-0.59370670888581034</v>
      </c>
      <c r="M97" s="103">
        <v>119240</v>
      </c>
      <c r="N97" s="103">
        <v>104946</v>
      </c>
      <c r="O97" s="114">
        <f t="shared" si="107"/>
        <v>-11.987588057698758</v>
      </c>
      <c r="P97" s="115">
        <f>(N97/N$181)*100</f>
        <v>1.0628700184487643</v>
      </c>
      <c r="Q97" s="103">
        <v>0</v>
      </c>
      <c r="R97" s="103">
        <v>0</v>
      </c>
      <c r="S97" s="106" t="s">
        <v>57</v>
      </c>
      <c r="T97" s="103">
        <v>0</v>
      </c>
      <c r="U97" s="103">
        <v>0</v>
      </c>
      <c r="V97" s="106" t="s">
        <v>57</v>
      </c>
      <c r="W97" s="106" t="s">
        <v>57</v>
      </c>
      <c r="X97" s="15">
        <v>6093.8514805000004</v>
      </c>
      <c r="Y97" s="15">
        <v>4917.8123059</v>
      </c>
      <c r="Z97" s="114">
        <f t="shared" si="110"/>
        <v>-19.298783017001039</v>
      </c>
      <c r="AA97" s="15">
        <v>31709.220709699999</v>
      </c>
      <c r="AB97" s="15">
        <v>23385.316491900001</v>
      </c>
      <c r="AC97" s="114">
        <f t="shared" si="111"/>
        <v>-26.250737266632594</v>
      </c>
      <c r="AD97" s="115">
        <f>(AB97/AB$181)*100</f>
        <v>2.8761935891785591</v>
      </c>
    </row>
    <row r="98" spans="1:30">
      <c r="A98" s="5"/>
      <c r="B98" s="108" t="s">
        <v>5</v>
      </c>
      <c r="C98" s="15">
        <v>73.148149017999927</v>
      </c>
      <c r="D98" s="11">
        <v>134.62475930999989</v>
      </c>
      <c r="E98" s="114">
        <f t="shared" si="104"/>
        <v>84.043972564325728</v>
      </c>
      <c r="F98" s="15">
        <v>262.26975921199994</v>
      </c>
      <c r="G98" s="11">
        <v>572.07967843900019</v>
      </c>
      <c r="H98" s="114">
        <f t="shared" si="105"/>
        <v>118.12643598630534</v>
      </c>
      <c r="I98" s="115">
        <f>(G98/G$182)*100</f>
        <v>0.73753665664387169</v>
      </c>
      <c r="J98" s="103">
        <v>23</v>
      </c>
      <c r="K98" s="103">
        <v>8</v>
      </c>
      <c r="L98" s="114">
        <f t="shared" si="106"/>
        <v>-65.217391304347828</v>
      </c>
      <c r="M98" s="103">
        <v>93</v>
      </c>
      <c r="N98" s="103">
        <v>50</v>
      </c>
      <c r="O98" s="114">
        <f t="shared" si="107"/>
        <v>-46.236559139784944</v>
      </c>
      <c r="P98" s="115">
        <f>(N98/N$182)*100</f>
        <v>8.5324232081911262</v>
      </c>
      <c r="Q98" s="103">
        <v>1150785</v>
      </c>
      <c r="R98" s="103">
        <v>1770175</v>
      </c>
      <c r="S98" s="114">
        <f t="shared" si="108"/>
        <v>53.82325977484934</v>
      </c>
      <c r="T98" s="103">
        <v>3942006</v>
      </c>
      <c r="U98" s="103">
        <v>7288706</v>
      </c>
      <c r="V98" s="114">
        <f t="shared" si="109"/>
        <v>84.898399444343823</v>
      </c>
      <c r="W98" s="115">
        <f>(U98/U$182)*100</f>
        <v>15.941104984688684</v>
      </c>
      <c r="X98" s="15">
        <v>7079.5950616000009</v>
      </c>
      <c r="Y98" s="15">
        <v>11868.950897299977</v>
      </c>
      <c r="Z98" s="114">
        <f t="shared" si="110"/>
        <v>67.65013809444595</v>
      </c>
      <c r="AA98" s="15">
        <v>24222.620011799998</v>
      </c>
      <c r="AB98" s="15">
        <v>49660.304191200055</v>
      </c>
      <c r="AC98" s="114">
        <f t="shared" si="111"/>
        <v>105.01623757879264</v>
      </c>
      <c r="AD98" s="115">
        <f>(AB98/AB$182)*100</f>
        <v>8.9379536590616127</v>
      </c>
    </row>
    <row r="99" spans="1:30">
      <c r="A99" s="5"/>
      <c r="B99" s="108" t="s">
        <v>6</v>
      </c>
      <c r="C99" s="15">
        <v>5.5338011999999999E-2</v>
      </c>
      <c r="D99" s="11">
        <v>4.0780870999999996E-2</v>
      </c>
      <c r="E99" s="114">
        <f t="shared" si="104"/>
        <v>-26.305861873028618</v>
      </c>
      <c r="F99" s="15">
        <v>0.22590948499999999</v>
      </c>
      <c r="G99" s="11">
        <v>0.109638156</v>
      </c>
      <c r="H99" s="114">
        <f t="shared" si="105"/>
        <v>-51.468104139142277</v>
      </c>
      <c r="I99" s="115">
        <f>(G99/G$183)*100</f>
        <v>1.174767727769142E-2</v>
      </c>
      <c r="J99" s="103">
        <v>2</v>
      </c>
      <c r="K99" s="103">
        <v>1</v>
      </c>
      <c r="L99" s="114">
        <f t="shared" si="106"/>
        <v>-50</v>
      </c>
      <c r="M99" s="103">
        <v>10</v>
      </c>
      <c r="N99" s="103">
        <v>5</v>
      </c>
      <c r="O99" s="114">
        <f t="shared" si="107"/>
        <v>-50</v>
      </c>
      <c r="P99" s="115">
        <f>(N99/N$183)*100</f>
        <v>0.14679976512037579</v>
      </c>
      <c r="Q99" s="103">
        <v>1159</v>
      </c>
      <c r="R99" s="103">
        <v>291</v>
      </c>
      <c r="S99" s="114">
        <f t="shared" si="108"/>
        <v>-74.892148403796384</v>
      </c>
      <c r="T99" s="103">
        <v>11025</v>
      </c>
      <c r="U99" s="103">
        <v>3774</v>
      </c>
      <c r="V99" s="114">
        <f t="shared" si="109"/>
        <v>-65.768707482993193</v>
      </c>
      <c r="W99" s="115">
        <f>(U99/U$183)*100</f>
        <v>0.18710186938266793</v>
      </c>
      <c r="X99" s="15">
        <v>14.978636699999999</v>
      </c>
      <c r="Y99" s="15">
        <v>21.744835699999999</v>
      </c>
      <c r="Z99" s="114">
        <f t="shared" si="110"/>
        <v>45.172328667267834</v>
      </c>
      <c r="AA99" s="15">
        <v>150.98761099999999</v>
      </c>
      <c r="AB99" s="15">
        <v>44.544573199999995</v>
      </c>
      <c r="AC99" s="114">
        <f t="shared" si="111"/>
        <v>-70.497862106050533</v>
      </c>
      <c r="AD99" s="115">
        <f>(AB99/AB$183)*100</f>
        <v>3.065445418807344E-2</v>
      </c>
    </row>
    <row r="100" spans="1:30">
      <c r="A100" s="5"/>
      <c r="B100" s="108" t="s">
        <v>25</v>
      </c>
      <c r="C100" s="15">
        <v>183.28229661199995</v>
      </c>
      <c r="D100" s="11">
        <v>228.98601418000001</v>
      </c>
      <c r="E100" s="114">
        <f t="shared" si="104"/>
        <v>24.936242295540794</v>
      </c>
      <c r="F100" s="15">
        <v>444.79826907500006</v>
      </c>
      <c r="G100" s="11">
        <v>522.6562066859999</v>
      </c>
      <c r="H100" s="114">
        <f t="shared" si="105"/>
        <v>17.504100852935593</v>
      </c>
      <c r="I100" s="115">
        <f>(G100/G$184)*100</f>
        <v>13.428634556722981</v>
      </c>
      <c r="J100" s="103">
        <v>43</v>
      </c>
      <c r="K100" s="103">
        <v>32</v>
      </c>
      <c r="L100" s="114">
        <f t="shared" si="106"/>
        <v>-25.581395348837212</v>
      </c>
      <c r="M100" s="103">
        <v>370</v>
      </c>
      <c r="N100" s="103">
        <v>328</v>
      </c>
      <c r="O100" s="114">
        <f t="shared" si="107"/>
        <v>-11.351351351351353</v>
      </c>
      <c r="P100" s="115">
        <f>(N100/N$184)*100</f>
        <v>2.9560201874549383</v>
      </c>
      <c r="Q100" s="103">
        <v>39964</v>
      </c>
      <c r="R100" s="103">
        <v>49779</v>
      </c>
      <c r="S100" s="114">
        <f t="shared" si="108"/>
        <v>24.559603643278951</v>
      </c>
      <c r="T100" s="103">
        <v>425799</v>
      </c>
      <c r="U100" s="103">
        <v>546619</v>
      </c>
      <c r="V100" s="114">
        <f t="shared" si="109"/>
        <v>28.374890499977688</v>
      </c>
      <c r="W100" s="115">
        <f>(U100/U$184)*100</f>
        <v>1.726956554651236</v>
      </c>
      <c r="X100" s="15">
        <v>3883.1631374680005</v>
      </c>
      <c r="Y100" s="15">
        <v>2370.3404025650002</v>
      </c>
      <c r="Z100" s="114">
        <f t="shared" si="110"/>
        <v>-38.958516069181421</v>
      </c>
      <c r="AA100" s="15">
        <v>12226.491162763001</v>
      </c>
      <c r="AB100" s="15">
        <v>10596.543239934999</v>
      </c>
      <c r="AC100" s="114">
        <f t="shared" si="111"/>
        <v>-13.331281241114953</v>
      </c>
      <c r="AD100" s="115">
        <f>(AB100/AB$184)*100</f>
        <v>1.0410932807058051</v>
      </c>
    </row>
    <row r="101" spans="1:30">
      <c r="A101" s="5"/>
      <c r="B101" s="108"/>
      <c r="C101" s="15"/>
      <c r="D101" s="11"/>
      <c r="E101" s="114"/>
      <c r="F101" s="15"/>
      <c r="G101" s="11"/>
      <c r="H101" s="114"/>
      <c r="I101" s="115"/>
      <c r="J101" s="103"/>
      <c r="K101" s="103"/>
      <c r="L101" s="114"/>
      <c r="M101" s="103"/>
      <c r="N101" s="103"/>
      <c r="O101" s="114"/>
      <c r="P101" s="115"/>
      <c r="Q101" s="103"/>
      <c r="R101" s="103"/>
      <c r="S101" s="114"/>
      <c r="T101" s="103"/>
      <c r="U101" s="103"/>
      <c r="V101" s="114"/>
      <c r="W101" s="115"/>
      <c r="X101" s="15"/>
      <c r="Y101" s="15"/>
      <c r="Z101" s="114"/>
      <c r="AA101" s="15"/>
      <c r="AB101" s="15"/>
      <c r="AC101" s="114"/>
      <c r="AD101" s="115"/>
    </row>
    <row r="102" spans="1:30" s="24" customFormat="1" ht="15">
      <c r="A102" s="16">
        <v>15</v>
      </c>
      <c r="B102" s="107" t="s">
        <v>19</v>
      </c>
      <c r="C102" s="12">
        <f>C103+C104+C105+C106+C107</f>
        <v>601.28306307700007</v>
      </c>
      <c r="D102" s="12">
        <f>D103+D104+D105+D106+D107</f>
        <v>685.15890471700004</v>
      </c>
      <c r="E102" s="110">
        <f t="shared" ref="E102:E107" si="112">((D102-C102)/C102)*100</f>
        <v>13.949476842200504</v>
      </c>
      <c r="F102" s="12">
        <f>F103+F104+F105+F106+F107</f>
        <v>2494.7600184309995</v>
      </c>
      <c r="G102" s="12">
        <f>G103+G104+G105+G106+G107</f>
        <v>3108.7296534500001</v>
      </c>
      <c r="H102" s="110">
        <f t="shared" ref="H102:H107" si="113">((G102-F102)/F102)*100</f>
        <v>24.610368551807138</v>
      </c>
      <c r="I102" s="111">
        <f>(G102/G$179)*100</f>
        <v>2.35542136599347</v>
      </c>
      <c r="J102" s="22">
        <f>J103+J104+J105+J106+J107</f>
        <v>53964</v>
      </c>
      <c r="K102" s="22">
        <f>K103+K104+K105+K106+K107</f>
        <v>52305</v>
      </c>
      <c r="L102" s="110">
        <f t="shared" ref="L102:L107" si="114">((K102-J102)/J102)*100</f>
        <v>-3.0742717367133645</v>
      </c>
      <c r="M102" s="22">
        <f>M103+M104+M105+M106+M107</f>
        <v>283537</v>
      </c>
      <c r="N102" s="22">
        <f>N103+N104+N105+N106+N107</f>
        <v>258789</v>
      </c>
      <c r="O102" s="110">
        <f t="shared" ref="O102:O107" si="115">((N102-M102)/M102)*100</f>
        <v>-8.7283141177341932</v>
      </c>
      <c r="P102" s="111">
        <f>(N102/N$179)*100</f>
        <v>2.4892538154149459</v>
      </c>
      <c r="Q102" s="22">
        <f>Q103+Q104+Q105+Q106+Q107</f>
        <v>252841</v>
      </c>
      <c r="R102" s="22">
        <f>R103+R104+R105+R106+R107</f>
        <v>244222</v>
      </c>
      <c r="S102" s="110">
        <f t="shared" ref="S102:S107" si="116">((R102-Q102)/Q102)*100</f>
        <v>-3.4088616956901769</v>
      </c>
      <c r="T102" s="22">
        <f>T103+T104+T105+T106+T107</f>
        <v>1481694</v>
      </c>
      <c r="U102" s="22">
        <f>U103+U104+U105+U106+U107</f>
        <v>1749310</v>
      </c>
      <c r="V102" s="110">
        <f t="shared" ref="V102:V107" si="117">((U102-T102)/T102)*100</f>
        <v>18.06148907939156</v>
      </c>
      <c r="W102" s="111">
        <f>(U102/U$179)*100</f>
        <v>2.2033844613097133</v>
      </c>
      <c r="X102" s="12">
        <f>X103+X104+X105+X106+X107</f>
        <v>26761.13825034281</v>
      </c>
      <c r="Y102" s="12">
        <f>Y103+Y104+Y105+Y106+Y107</f>
        <v>23552.177672599995</v>
      </c>
      <c r="Z102" s="110">
        <f t="shared" ref="Z102:Z107" si="118">((Y102-X102)/X102)*100</f>
        <v>-11.991121407930802</v>
      </c>
      <c r="AA102" s="12">
        <f>AA103+AA104+AA105+AA106+AA107</f>
        <v>176301.89925699105</v>
      </c>
      <c r="AB102" s="12">
        <f>AB103+AB104+AB105+AB106+AB107</f>
        <v>119180.76829589999</v>
      </c>
      <c r="AC102" s="110">
        <f t="shared" ref="AC102:AC107" si="119">((AB102-AA102)/AA102)*100</f>
        <v>-32.399611803289169</v>
      </c>
      <c r="AD102" s="111">
        <f>(AB102/AB$179)*100</f>
        <v>4.6731155557446034</v>
      </c>
    </row>
    <row r="103" spans="1:30">
      <c r="A103" s="5"/>
      <c r="B103" s="108" t="s">
        <v>3</v>
      </c>
      <c r="C103" s="15">
        <v>144.54404651800013</v>
      </c>
      <c r="D103" s="11">
        <v>169.16640830000003</v>
      </c>
      <c r="E103" s="114">
        <f t="shared" si="112"/>
        <v>17.034504274054392</v>
      </c>
      <c r="F103" s="15">
        <v>643.74091524600033</v>
      </c>
      <c r="G103" s="11">
        <v>753.02094050000005</v>
      </c>
      <c r="H103" s="114">
        <f t="shared" si="113"/>
        <v>16.975777469766584</v>
      </c>
      <c r="I103" s="115">
        <f>(G103/G$180)*100</f>
        <v>4.3324770928408194</v>
      </c>
      <c r="J103" s="103">
        <v>638</v>
      </c>
      <c r="K103" s="103">
        <v>728</v>
      </c>
      <c r="L103" s="114">
        <f t="shared" si="114"/>
        <v>14.106583072100312</v>
      </c>
      <c r="M103" s="103">
        <v>2441</v>
      </c>
      <c r="N103" s="103">
        <v>3314</v>
      </c>
      <c r="O103" s="114">
        <f t="shared" si="115"/>
        <v>35.764031134780829</v>
      </c>
      <c r="P103" s="115">
        <f>(N103/N$180)*100</f>
        <v>0.65322631512552032</v>
      </c>
      <c r="Q103" s="103">
        <v>0</v>
      </c>
      <c r="R103" s="103">
        <v>0</v>
      </c>
      <c r="S103" s="106" t="s">
        <v>57</v>
      </c>
      <c r="T103" s="103">
        <v>0</v>
      </c>
      <c r="U103" s="103">
        <v>0</v>
      </c>
      <c r="V103" s="106" t="s">
        <v>57</v>
      </c>
      <c r="W103" s="106" t="s">
        <v>57</v>
      </c>
      <c r="X103" s="15">
        <v>418.2006408679959</v>
      </c>
      <c r="Y103" s="15">
        <v>233.03758760000005</v>
      </c>
      <c r="Z103" s="114">
        <f t="shared" si="118"/>
        <v>-44.276128530956065</v>
      </c>
      <c r="AA103" s="15">
        <v>1329.9845728519963</v>
      </c>
      <c r="AB103" s="15">
        <v>1157.5802131</v>
      </c>
      <c r="AC103" s="114">
        <f t="shared" si="119"/>
        <v>-12.962884177092015</v>
      </c>
      <c r="AD103" s="115">
        <f>(AB103/AB$180)*100</f>
        <v>6.2461782568013087</v>
      </c>
    </row>
    <row r="104" spans="1:30">
      <c r="A104" s="5"/>
      <c r="B104" s="108" t="s">
        <v>4</v>
      </c>
      <c r="C104" s="15">
        <v>408.70673280099982</v>
      </c>
      <c r="D104" s="11">
        <v>437.97575449999999</v>
      </c>
      <c r="E104" s="114">
        <f t="shared" si="112"/>
        <v>7.161374978682165</v>
      </c>
      <c r="F104" s="15">
        <v>1693.4300504149994</v>
      </c>
      <c r="G104" s="11">
        <v>2011.7370406</v>
      </c>
      <c r="H104" s="114">
        <f t="shared" si="113"/>
        <v>18.796583307766085</v>
      </c>
      <c r="I104" s="115">
        <f>(G104/G$181)*100</f>
        <v>6.2458068728102161</v>
      </c>
      <c r="J104" s="103">
        <v>53307</v>
      </c>
      <c r="K104" s="103">
        <v>51574</v>
      </c>
      <c r="L104" s="114">
        <f t="shared" si="114"/>
        <v>-3.2509801714596582</v>
      </c>
      <c r="M104" s="103">
        <v>280750</v>
      </c>
      <c r="N104" s="103">
        <v>255445</v>
      </c>
      <c r="O104" s="114">
        <f t="shared" si="115"/>
        <v>-9.0133570792520032</v>
      </c>
      <c r="P104" s="115">
        <f>(N104/N$181)*100</f>
        <v>2.5870908072975114</v>
      </c>
      <c r="Q104" s="103">
        <v>0</v>
      </c>
      <c r="R104" s="103">
        <v>0</v>
      </c>
      <c r="S104" s="106" t="s">
        <v>57</v>
      </c>
      <c r="T104" s="103">
        <v>0</v>
      </c>
      <c r="U104" s="103">
        <v>0</v>
      </c>
      <c r="V104" s="106" t="s">
        <v>57</v>
      </c>
      <c r="W104" s="106" t="s">
        <v>57</v>
      </c>
      <c r="X104" s="15">
        <v>16988.586803162994</v>
      </c>
      <c r="Y104" s="15">
        <v>14538.080289399997</v>
      </c>
      <c r="Z104" s="114">
        <f t="shared" si="118"/>
        <v>-14.424428247950285</v>
      </c>
      <c r="AA104" s="15">
        <v>108974.87141346998</v>
      </c>
      <c r="AB104" s="15">
        <v>87029.802481699997</v>
      </c>
      <c r="AC104" s="114">
        <f t="shared" si="119"/>
        <v>-20.137733265595244</v>
      </c>
      <c r="AD104" s="115">
        <f>(AB104/AB$181)*100</f>
        <v>10.703920130909648</v>
      </c>
    </row>
    <row r="105" spans="1:30">
      <c r="A105" s="5"/>
      <c r="B105" s="108" t="s">
        <v>5</v>
      </c>
      <c r="C105" s="15">
        <v>37.761361735999998</v>
      </c>
      <c r="D105" s="11">
        <v>67.237993381999999</v>
      </c>
      <c r="E105" s="114">
        <f t="shared" si="112"/>
        <v>78.060298386692708</v>
      </c>
      <c r="F105" s="15">
        <v>102.39343530100003</v>
      </c>
      <c r="G105" s="11">
        <v>324.74955701200008</v>
      </c>
      <c r="H105" s="114">
        <f t="shared" si="113"/>
        <v>217.15857179452249</v>
      </c>
      <c r="I105" s="115">
        <f>(G105/G$182)*100</f>
        <v>0.41867367702827418</v>
      </c>
      <c r="J105" s="103">
        <v>5</v>
      </c>
      <c r="K105" s="103">
        <v>2</v>
      </c>
      <c r="L105" s="114">
        <f t="shared" si="114"/>
        <v>-60</v>
      </c>
      <c r="M105" s="103">
        <v>6</v>
      </c>
      <c r="N105" s="103">
        <v>23</v>
      </c>
      <c r="O105" s="114">
        <f t="shared" si="115"/>
        <v>283.33333333333337</v>
      </c>
      <c r="P105" s="115">
        <f>(N105/N$182)*100</f>
        <v>3.9249146757679183</v>
      </c>
      <c r="Q105" s="103">
        <v>27405</v>
      </c>
      <c r="R105" s="103">
        <v>201975</v>
      </c>
      <c r="S105" s="114">
        <f t="shared" si="116"/>
        <v>637.00054734537491</v>
      </c>
      <c r="T105" s="103">
        <v>85979</v>
      </c>
      <c r="U105" s="103">
        <v>1522576</v>
      </c>
      <c r="V105" s="114">
        <f t="shared" si="117"/>
        <v>1670.8696309563961</v>
      </c>
      <c r="W105" s="115">
        <f>(U105/U$182)*100</f>
        <v>3.3300209753510916</v>
      </c>
      <c r="X105" s="15">
        <v>2892.3890373999993</v>
      </c>
      <c r="Y105" s="15">
        <v>5174.1711406999993</v>
      </c>
      <c r="Z105" s="114">
        <f t="shared" si="118"/>
        <v>78.889183778373024</v>
      </c>
      <c r="AA105" s="15">
        <v>7716.3416909999996</v>
      </c>
      <c r="AB105" s="15">
        <v>25238.408700299999</v>
      </c>
      <c r="AC105" s="114">
        <f t="shared" si="119"/>
        <v>227.07738603303383</v>
      </c>
      <c r="AD105" s="115">
        <f>(AB105/AB$182)*100</f>
        <v>4.5424556104856117</v>
      </c>
    </row>
    <row r="106" spans="1:30" s="29" customFormat="1">
      <c r="A106" s="5"/>
      <c r="B106" s="108" t="s">
        <v>6</v>
      </c>
      <c r="C106" s="15">
        <v>0</v>
      </c>
      <c r="D106" s="11">
        <v>0</v>
      </c>
      <c r="E106" s="106" t="s">
        <v>57</v>
      </c>
      <c r="F106" s="15">
        <v>0</v>
      </c>
      <c r="G106" s="11">
        <v>0</v>
      </c>
      <c r="H106" s="106" t="s">
        <v>57</v>
      </c>
      <c r="I106" s="115">
        <f>(G106/G$183)*100</f>
        <v>0</v>
      </c>
      <c r="J106" s="103">
        <v>0</v>
      </c>
      <c r="K106" s="103">
        <v>0</v>
      </c>
      <c r="L106" s="106" t="s">
        <v>57</v>
      </c>
      <c r="M106" s="103">
        <v>0</v>
      </c>
      <c r="N106" s="103">
        <v>0</v>
      </c>
      <c r="O106" s="106" t="s">
        <v>57</v>
      </c>
      <c r="P106" s="115">
        <f>(N106/N$183)*100</f>
        <v>0</v>
      </c>
      <c r="Q106" s="103">
        <v>0</v>
      </c>
      <c r="R106" s="103">
        <v>0</v>
      </c>
      <c r="S106" s="106" t="s">
        <v>57</v>
      </c>
      <c r="T106" s="103">
        <v>0</v>
      </c>
      <c r="U106" s="103">
        <v>0</v>
      </c>
      <c r="V106" s="106" t="s">
        <v>57</v>
      </c>
      <c r="W106" s="115">
        <f>(U106/U$183)*100</f>
        <v>0</v>
      </c>
      <c r="X106" s="15">
        <v>0</v>
      </c>
      <c r="Y106" s="15">
        <v>0</v>
      </c>
      <c r="Z106" s="106" t="s">
        <v>57</v>
      </c>
      <c r="AA106" s="15">
        <v>0</v>
      </c>
      <c r="AB106" s="15">
        <v>0</v>
      </c>
      <c r="AC106" s="106" t="s">
        <v>57</v>
      </c>
      <c r="AD106" s="115">
        <f>(AB106/AB$183)*100</f>
        <v>0</v>
      </c>
    </row>
    <row r="107" spans="1:30" s="29" customFormat="1">
      <c r="A107" s="5"/>
      <c r="B107" s="108" t="s">
        <v>25</v>
      </c>
      <c r="C107" s="15">
        <v>10.27092202199999</v>
      </c>
      <c r="D107" s="11">
        <v>10.778748535000013</v>
      </c>
      <c r="E107" s="114">
        <f t="shared" si="112"/>
        <v>4.9443128076746587</v>
      </c>
      <c r="F107" s="15">
        <v>55.195617469000027</v>
      </c>
      <c r="G107" s="11">
        <v>19.222115338000009</v>
      </c>
      <c r="H107" s="114">
        <f t="shared" si="113"/>
        <v>-65.174562366666365</v>
      </c>
      <c r="I107" s="115">
        <f>(G107/G$184)*100</f>
        <v>0.49387486263271052</v>
      </c>
      <c r="J107" s="103">
        <v>14</v>
      </c>
      <c r="K107" s="103">
        <v>1</v>
      </c>
      <c r="L107" s="114">
        <f t="shared" si="114"/>
        <v>-92.857142857142861</v>
      </c>
      <c r="M107" s="103">
        <v>340</v>
      </c>
      <c r="N107" s="103">
        <v>7</v>
      </c>
      <c r="O107" s="114">
        <f t="shared" si="115"/>
        <v>-97.941176470588232</v>
      </c>
      <c r="P107" s="115">
        <f>(N107/N$184)*100</f>
        <v>6.3085796683489542E-2</v>
      </c>
      <c r="Q107" s="103">
        <v>225436</v>
      </c>
      <c r="R107" s="103">
        <v>42247</v>
      </c>
      <c r="S107" s="114">
        <f t="shared" si="116"/>
        <v>-81.259869763480538</v>
      </c>
      <c r="T107" s="103">
        <v>1395715</v>
      </c>
      <c r="U107" s="103">
        <v>226734</v>
      </c>
      <c r="V107" s="114">
        <f t="shared" si="117"/>
        <v>-83.754992960597249</v>
      </c>
      <c r="W107" s="115">
        <f>(U107/U$184)*100</f>
        <v>0.71633032781936468</v>
      </c>
      <c r="X107" s="15">
        <v>6461.9617689118222</v>
      </c>
      <c r="Y107" s="15">
        <v>3606.8886548999999</v>
      </c>
      <c r="Z107" s="114">
        <f t="shared" si="118"/>
        <v>-44.182760841257803</v>
      </c>
      <c r="AA107" s="15">
        <v>58280.701579669068</v>
      </c>
      <c r="AB107" s="15">
        <v>5754.9769008000012</v>
      </c>
      <c r="AC107" s="114">
        <f t="shared" si="119"/>
        <v>-90.125415884136174</v>
      </c>
      <c r="AD107" s="115">
        <f>(AB107/AB$184)*100</f>
        <v>0.56541719751211561</v>
      </c>
    </row>
    <row r="108" spans="1:30" s="29" customFormat="1">
      <c r="A108" s="5"/>
      <c r="B108" s="108"/>
      <c r="C108" s="15"/>
      <c r="D108" s="11"/>
      <c r="E108" s="114"/>
      <c r="F108" s="15"/>
      <c r="G108" s="11"/>
      <c r="H108" s="114"/>
      <c r="I108" s="115"/>
      <c r="J108" s="103"/>
      <c r="K108" s="103"/>
      <c r="L108" s="114"/>
      <c r="M108" s="103"/>
      <c r="N108" s="103"/>
      <c r="O108" s="114"/>
      <c r="P108" s="115"/>
      <c r="Q108" s="103"/>
      <c r="R108" s="103"/>
      <c r="S108" s="114"/>
      <c r="T108" s="103"/>
      <c r="U108" s="103"/>
      <c r="V108" s="114"/>
      <c r="W108" s="115"/>
      <c r="X108" s="15"/>
      <c r="Y108" s="15"/>
      <c r="Z108" s="114"/>
      <c r="AA108" s="15"/>
      <c r="AB108" s="15"/>
      <c r="AC108" s="114"/>
      <c r="AD108" s="115"/>
    </row>
    <row r="109" spans="1:30" s="30" customFormat="1" ht="15">
      <c r="A109" s="16">
        <v>16</v>
      </c>
      <c r="B109" s="107" t="s">
        <v>21</v>
      </c>
      <c r="C109" s="12">
        <f>C110+C111+C112+C113+C114</f>
        <v>157.255546221</v>
      </c>
      <c r="D109" s="12">
        <f>D110+D111+D112+D113+D114</f>
        <v>206.88748147599998</v>
      </c>
      <c r="E109" s="110">
        <f t="shared" ref="E109:E114" si="120">((D109-C109)/C109)*100</f>
        <v>31.561325783225126</v>
      </c>
      <c r="F109" s="12">
        <f>F110+F111+F112+F113+F114</f>
        <v>651.47811643700004</v>
      </c>
      <c r="G109" s="12">
        <f>G110+G111+G112+G113+G114</f>
        <v>866.70384388000002</v>
      </c>
      <c r="H109" s="110">
        <f t="shared" ref="H109:H114" si="121">((G109-F109)/F109)*100</f>
        <v>33.036524483752629</v>
      </c>
      <c r="I109" s="111">
        <f>(G109/G$179)*100</f>
        <v>0.65668391254223757</v>
      </c>
      <c r="J109" s="22">
        <f>J110+J111+J112+J113+J114</f>
        <v>21378</v>
      </c>
      <c r="K109" s="22">
        <f>K110+K111+K112+K113+K114</f>
        <v>23279</v>
      </c>
      <c r="L109" s="110">
        <f t="shared" ref="L109:L113" si="122">((K109-J109)/J109)*100</f>
        <v>8.8923192066610532</v>
      </c>
      <c r="M109" s="22">
        <f>M110+M111+M112+M113+M114</f>
        <v>100252</v>
      </c>
      <c r="N109" s="22">
        <f>N110+N111+N112+N113+N114</f>
        <v>104836</v>
      </c>
      <c r="O109" s="110">
        <f t="shared" ref="O109:O113" si="123">((N109-M109)/M109)*100</f>
        <v>4.5724773570602082</v>
      </c>
      <c r="P109" s="111">
        <f>(N109/N$179)*100</f>
        <v>1.008402262046846</v>
      </c>
      <c r="Q109" s="22">
        <f>Q110+Q111+Q112+Q113+Q114</f>
        <v>240997</v>
      </c>
      <c r="R109" s="22">
        <f>R110+R111+R112+R113+R114</f>
        <v>160829</v>
      </c>
      <c r="S109" s="110">
        <f t="shared" ref="S109:S114" si="124">((R109-Q109)/Q109)*100</f>
        <v>-33.265144379390613</v>
      </c>
      <c r="T109" s="22">
        <f>T110+T111+T112+T113+T114</f>
        <v>625410</v>
      </c>
      <c r="U109" s="22">
        <f>U110+U111+U112+U113+U114</f>
        <v>1242575</v>
      </c>
      <c r="V109" s="110">
        <f t="shared" ref="V109:V114" si="125">((U109-T109)/T109)*100</f>
        <v>98.681664827872922</v>
      </c>
      <c r="W109" s="111">
        <f>(U109/U$179)*100</f>
        <v>1.5651145005813247</v>
      </c>
      <c r="X109" s="12">
        <f>X110+X111+X112+X113+X114</f>
        <v>13064.519175820002</v>
      </c>
      <c r="Y109" s="12">
        <f>Y110+Y111+Y112+Y113+Y114</f>
        <v>17252.028577544002</v>
      </c>
      <c r="Z109" s="110">
        <f t="shared" ref="Z109:Z114" si="126">((Y109-X109)/X109)*100</f>
        <v>32.052533624615151</v>
      </c>
      <c r="AA109" s="12">
        <f>AA110+AA111+AA112+AA113+AA114</f>
        <v>73582.210705509991</v>
      </c>
      <c r="AB109" s="12">
        <f>AB110+AB111+AB112+AB113+AB114</f>
        <v>165989.95832074803</v>
      </c>
      <c r="AC109" s="110">
        <f t="shared" ref="AC109:AC114" si="127">((AB109-AA109)/AA109)*100</f>
        <v>125.58435894930015</v>
      </c>
      <c r="AD109" s="111">
        <f>(AB109/AB$179)*100</f>
        <v>6.5085186764379248</v>
      </c>
    </row>
    <row r="110" spans="1:30" s="29" customFormat="1">
      <c r="A110" s="5"/>
      <c r="B110" s="108" t="s">
        <v>3</v>
      </c>
      <c r="C110" s="15">
        <v>5.7360109000000001</v>
      </c>
      <c r="D110" s="11">
        <v>13.7123297</v>
      </c>
      <c r="E110" s="114">
        <f t="shared" si="120"/>
        <v>139.05689753832232</v>
      </c>
      <c r="F110" s="15">
        <v>37.686103500000002</v>
      </c>
      <c r="G110" s="11">
        <v>63.764636161999995</v>
      </c>
      <c r="H110" s="114">
        <f t="shared" si="121"/>
        <v>69.199334078143664</v>
      </c>
      <c r="I110" s="115">
        <f>(G110/G$180)*100</f>
        <v>0.36686738793978374</v>
      </c>
      <c r="J110" s="103">
        <v>93</v>
      </c>
      <c r="K110" s="103">
        <v>179</v>
      </c>
      <c r="L110" s="114">
        <f t="shared" si="122"/>
        <v>92.473118279569889</v>
      </c>
      <c r="M110" s="103">
        <v>526</v>
      </c>
      <c r="N110" s="103">
        <v>903</v>
      </c>
      <c r="O110" s="114">
        <f t="shared" si="123"/>
        <v>71.673003802281372</v>
      </c>
      <c r="P110" s="115">
        <f>(N110/N$180)*100</f>
        <v>0.17799135864765989</v>
      </c>
      <c r="Q110" s="103">
        <v>0</v>
      </c>
      <c r="R110" s="103">
        <v>0</v>
      </c>
      <c r="S110" s="106" t="s">
        <v>57</v>
      </c>
      <c r="T110" s="103">
        <v>0</v>
      </c>
      <c r="U110" s="103">
        <v>0</v>
      </c>
      <c r="V110" s="106" t="s">
        <v>57</v>
      </c>
      <c r="W110" s="106" t="s">
        <v>57</v>
      </c>
      <c r="X110" s="15">
        <v>3.3074414000000005</v>
      </c>
      <c r="Y110" s="15">
        <v>2.9962678</v>
      </c>
      <c r="Z110" s="114">
        <f t="shared" si="126"/>
        <v>-9.4082876268042259</v>
      </c>
      <c r="AA110" s="15">
        <v>7.7556912000000011</v>
      </c>
      <c r="AB110" s="15">
        <v>16.1956481</v>
      </c>
      <c r="AC110" s="114">
        <f t="shared" si="127"/>
        <v>108.82275586217251</v>
      </c>
      <c r="AD110" s="115">
        <f>(AB110/AB$180)*100</f>
        <v>8.7389974251647323E-2</v>
      </c>
    </row>
    <row r="111" spans="1:30" s="29" customFormat="1">
      <c r="A111" s="5"/>
      <c r="B111" s="108" t="s">
        <v>4</v>
      </c>
      <c r="C111" s="15">
        <v>119.487130276</v>
      </c>
      <c r="D111" s="11">
        <v>144.110062766</v>
      </c>
      <c r="E111" s="114">
        <f t="shared" si="120"/>
        <v>20.6071837470062</v>
      </c>
      <c r="F111" s="15">
        <v>499.45549853599994</v>
      </c>
      <c r="G111" s="11">
        <v>569.146001297</v>
      </c>
      <c r="H111" s="114">
        <f t="shared" si="121"/>
        <v>13.953295732107529</v>
      </c>
      <c r="I111" s="115">
        <f>(G111/G$181)*100</f>
        <v>1.767018220966416</v>
      </c>
      <c r="J111" s="103">
        <v>21258</v>
      </c>
      <c r="K111" s="103">
        <v>23098</v>
      </c>
      <c r="L111" s="114">
        <f t="shared" si="122"/>
        <v>8.6555649637783425</v>
      </c>
      <c r="M111" s="103">
        <v>99654</v>
      </c>
      <c r="N111" s="103">
        <v>103861</v>
      </c>
      <c r="O111" s="114">
        <f t="shared" si="123"/>
        <v>4.2216067593874804</v>
      </c>
      <c r="P111" s="115">
        <f>(N111/N$181)*100</f>
        <v>1.0518813769567883</v>
      </c>
      <c r="Q111" s="103">
        <v>0</v>
      </c>
      <c r="R111" s="103">
        <v>0</v>
      </c>
      <c r="S111" s="106" t="s">
        <v>57</v>
      </c>
      <c r="T111" s="103">
        <v>0</v>
      </c>
      <c r="U111" s="103">
        <v>0</v>
      </c>
      <c r="V111" s="106" t="s">
        <v>57</v>
      </c>
      <c r="W111" s="106" t="s">
        <v>57</v>
      </c>
      <c r="X111" s="15">
        <v>4763.6092773199998</v>
      </c>
      <c r="Y111" s="15">
        <v>3062.3186089440005</v>
      </c>
      <c r="Z111" s="114">
        <f t="shared" si="126"/>
        <v>-35.714320157952649</v>
      </c>
      <c r="AA111" s="15">
        <v>33422.235471209991</v>
      </c>
      <c r="AB111" s="15">
        <v>17878.680012647998</v>
      </c>
      <c r="AC111" s="114">
        <f t="shared" si="127"/>
        <v>-46.506630210152331</v>
      </c>
      <c r="AD111" s="115">
        <f>(AB111/AB$181)*100</f>
        <v>2.1989244769539167</v>
      </c>
    </row>
    <row r="112" spans="1:30" s="32" customFormat="1">
      <c r="A112" s="31"/>
      <c r="B112" s="108" t="s">
        <v>5</v>
      </c>
      <c r="C112" s="15">
        <v>26.327291137000003</v>
      </c>
      <c r="D112" s="11">
        <v>41.174172406999993</v>
      </c>
      <c r="E112" s="114">
        <f t="shared" si="120"/>
        <v>56.39350130152355</v>
      </c>
      <c r="F112" s="15">
        <v>92.942291131000005</v>
      </c>
      <c r="G112" s="11">
        <v>172.685124651</v>
      </c>
      <c r="H112" s="114">
        <f t="shared" si="121"/>
        <v>85.798222262031729</v>
      </c>
      <c r="I112" s="115">
        <f>(G112/G$182)*100</f>
        <v>0.22262914465822808</v>
      </c>
      <c r="J112" s="103">
        <v>0</v>
      </c>
      <c r="K112" s="103">
        <v>0</v>
      </c>
      <c r="L112" s="106" t="s">
        <v>57</v>
      </c>
      <c r="M112" s="103">
        <v>0</v>
      </c>
      <c r="N112" s="103">
        <v>1</v>
      </c>
      <c r="O112" s="106" t="s">
        <v>57</v>
      </c>
      <c r="P112" s="115">
        <f>(N112/N$182)*100</f>
        <v>0.17064846416382254</v>
      </c>
      <c r="Q112" s="103">
        <v>152007</v>
      </c>
      <c r="R112" s="103">
        <v>80795</v>
      </c>
      <c r="S112" s="114">
        <f t="shared" si="124"/>
        <v>-46.847842533567537</v>
      </c>
      <c r="T112" s="103">
        <v>344443</v>
      </c>
      <c r="U112" s="103">
        <v>295438</v>
      </c>
      <c r="V112" s="114">
        <f t="shared" si="125"/>
        <v>-14.227317727461438</v>
      </c>
      <c r="W112" s="115">
        <f>(U112/U$182)*100</f>
        <v>0.64615148072462458</v>
      </c>
      <c r="X112" s="15">
        <v>2098.9723957000001</v>
      </c>
      <c r="Y112" s="15">
        <v>2181.3810862999999</v>
      </c>
      <c r="Z112" s="114">
        <f t="shared" si="126"/>
        <v>3.926144563350332</v>
      </c>
      <c r="AA112" s="15">
        <v>6422.3042471999997</v>
      </c>
      <c r="AB112" s="15">
        <v>9273.3511378999992</v>
      </c>
      <c r="AC112" s="114">
        <f t="shared" si="127"/>
        <v>44.392896707486265</v>
      </c>
      <c r="AD112" s="115">
        <f>(AB112/AB$182)*100</f>
        <v>1.6690349381598006</v>
      </c>
    </row>
    <row r="113" spans="1:30" s="29" customFormat="1">
      <c r="A113" s="5"/>
      <c r="B113" s="108" t="s">
        <v>6</v>
      </c>
      <c r="C113" s="15">
        <v>6.1640282999999997E-2</v>
      </c>
      <c r="D113" s="11">
        <v>8.0818174000000007E-2</v>
      </c>
      <c r="E113" s="114">
        <f t="shared" si="120"/>
        <v>31.112594015832162</v>
      </c>
      <c r="F113" s="15">
        <v>0.28720641700000005</v>
      </c>
      <c r="G113" s="11">
        <v>0.71430650599999979</v>
      </c>
      <c r="H113" s="114">
        <f t="shared" si="121"/>
        <v>148.70840751444618</v>
      </c>
      <c r="I113" s="115">
        <f>(G113/G$183)*100</f>
        <v>7.6537608949236141E-2</v>
      </c>
      <c r="J113" s="103">
        <v>27</v>
      </c>
      <c r="K113" s="103">
        <v>2</v>
      </c>
      <c r="L113" s="114">
        <f t="shared" si="122"/>
        <v>-92.592592592592595</v>
      </c>
      <c r="M113" s="103">
        <v>72</v>
      </c>
      <c r="N113" s="103">
        <v>71</v>
      </c>
      <c r="O113" s="114">
        <f t="shared" si="123"/>
        <v>-1.3888888888888888</v>
      </c>
      <c r="P113" s="115">
        <f>(N113/N$183)*100</f>
        <v>2.0845566647093365</v>
      </c>
      <c r="Q113" s="103">
        <v>82243</v>
      </c>
      <c r="R113" s="103">
        <v>72564</v>
      </c>
      <c r="S113" s="114">
        <f t="shared" si="124"/>
        <v>-11.768782753547415</v>
      </c>
      <c r="T113" s="103">
        <v>254885</v>
      </c>
      <c r="U113" s="103">
        <v>909379</v>
      </c>
      <c r="V113" s="114">
        <f t="shared" si="125"/>
        <v>256.78011652313791</v>
      </c>
      <c r="W113" s="115">
        <f>(U113/U$183)*100</f>
        <v>45.083866157218125</v>
      </c>
      <c r="X113" s="15">
        <v>4945.1440241</v>
      </c>
      <c r="Y113" s="15">
        <v>9182.3004313000001</v>
      </c>
      <c r="Z113" s="114">
        <f t="shared" si="126"/>
        <v>85.683174980351524</v>
      </c>
      <c r="AA113" s="15">
        <v>27390.370247899999</v>
      </c>
      <c r="AB113" s="15">
        <v>129809.26083310001</v>
      </c>
      <c r="AC113" s="114">
        <f t="shared" si="127"/>
        <v>373.92298701421316</v>
      </c>
      <c r="AD113" s="115">
        <f>(AB113/AB$183)*100</f>
        <v>89.331466293989351</v>
      </c>
    </row>
    <row r="114" spans="1:30" s="29" customFormat="1">
      <c r="A114" s="5"/>
      <c r="B114" s="108" t="s">
        <v>25</v>
      </c>
      <c r="C114" s="15">
        <v>5.6434736249999995</v>
      </c>
      <c r="D114" s="11">
        <v>7.8100984289999982</v>
      </c>
      <c r="E114" s="114">
        <f t="shared" si="120"/>
        <v>38.391688310583696</v>
      </c>
      <c r="F114" s="15">
        <v>21.107016853000001</v>
      </c>
      <c r="G114" s="11">
        <v>60.393775264000006</v>
      </c>
      <c r="H114" s="114">
        <f t="shared" si="121"/>
        <v>186.1312694475632</v>
      </c>
      <c r="I114" s="115">
        <f>(G114/G$184)*100</f>
        <v>1.5517005770646979</v>
      </c>
      <c r="J114" s="103">
        <v>0</v>
      </c>
      <c r="K114" s="103">
        <v>0</v>
      </c>
      <c r="L114" s="106" t="s">
        <v>57</v>
      </c>
      <c r="M114" s="103">
        <v>0</v>
      </c>
      <c r="N114" s="103">
        <v>0</v>
      </c>
      <c r="O114" s="106" t="s">
        <v>57</v>
      </c>
      <c r="P114" s="115">
        <f>(N114/N$184)*100</f>
        <v>0</v>
      </c>
      <c r="Q114" s="103">
        <v>6747</v>
      </c>
      <c r="R114" s="103">
        <v>7470</v>
      </c>
      <c r="S114" s="114">
        <f t="shared" si="124"/>
        <v>10.715873721654068</v>
      </c>
      <c r="T114" s="103">
        <v>26082</v>
      </c>
      <c r="U114" s="103">
        <v>37758</v>
      </c>
      <c r="V114" s="114">
        <f t="shared" si="125"/>
        <v>44.766505636070853</v>
      </c>
      <c r="W114" s="115">
        <f>(U114/U$184)*100</f>
        <v>0.11929044835712144</v>
      </c>
      <c r="X114" s="15">
        <v>1253.4860373000001</v>
      </c>
      <c r="Y114" s="15">
        <v>2823.0321832000004</v>
      </c>
      <c r="Z114" s="114">
        <f t="shared" si="126"/>
        <v>125.2144897665387</v>
      </c>
      <c r="AA114" s="15">
        <v>6339.545048</v>
      </c>
      <c r="AB114" s="15">
        <v>9012.4706889999998</v>
      </c>
      <c r="AC114" s="114">
        <f t="shared" si="127"/>
        <v>42.16273598123977</v>
      </c>
      <c r="AD114" s="115">
        <f>(AB114/AB$184)*100</f>
        <v>0.88546070774429975</v>
      </c>
    </row>
    <row r="115" spans="1:30" s="29" customFormat="1">
      <c r="A115" s="5"/>
      <c r="B115" s="25"/>
      <c r="C115" s="15"/>
      <c r="D115" s="11"/>
      <c r="E115" s="114"/>
      <c r="F115" s="15"/>
      <c r="G115" s="11"/>
      <c r="H115" s="114"/>
      <c r="I115" s="115"/>
      <c r="J115" s="103"/>
      <c r="K115" s="103"/>
      <c r="L115" s="114"/>
      <c r="M115" s="103"/>
      <c r="N115" s="103"/>
      <c r="O115" s="114"/>
      <c r="P115" s="115"/>
      <c r="Q115" s="103"/>
      <c r="R115" s="103"/>
      <c r="S115" s="114"/>
      <c r="T115" s="103"/>
      <c r="U115" s="103"/>
      <c r="V115" s="114"/>
      <c r="W115" s="115"/>
      <c r="X115" s="15"/>
      <c r="Y115" s="15"/>
      <c r="Z115" s="114"/>
      <c r="AA115" s="15"/>
      <c r="AB115" s="15"/>
      <c r="AC115" s="114"/>
      <c r="AD115" s="115"/>
    </row>
    <row r="116" spans="1:30" s="30" customFormat="1" ht="15">
      <c r="A116" s="16">
        <v>17</v>
      </c>
      <c r="B116" s="6" t="s">
        <v>58</v>
      </c>
      <c r="C116" s="12">
        <f>C117+C118+C119+C120+C121</f>
        <v>21.068371280082197</v>
      </c>
      <c r="D116" s="12">
        <f>D117+D118+D119+D120+D121</f>
        <v>23.734663801</v>
      </c>
      <c r="E116" s="110">
        <f t="shared" ref="E116:E121" si="128">((D116-C116)/C116)*100</f>
        <v>12.655427823405061</v>
      </c>
      <c r="F116" s="12">
        <f>F117+F118+F119+F120+F121</f>
        <v>93.946758856400706</v>
      </c>
      <c r="G116" s="12">
        <f>G117+G118+G119+G120+G121</f>
        <v>127.659306468</v>
      </c>
      <c r="H116" s="110">
        <f t="shared" ref="H116:H121" si="129">((G116-F116)/F116)*100</f>
        <v>35.884737293736251</v>
      </c>
      <c r="I116" s="111">
        <f>(G116/G$179)*100</f>
        <v>9.672486563408135E-2</v>
      </c>
      <c r="J116" s="22">
        <f>J117+J118+J119+J120+J121</f>
        <v>2796</v>
      </c>
      <c r="K116" s="22">
        <f>K117+K118+K119+K120+K121</f>
        <v>2857</v>
      </c>
      <c r="L116" s="110">
        <f t="shared" ref="L116:L121" si="130">((K116-J116)/J116)*100</f>
        <v>2.1816881258941345</v>
      </c>
      <c r="M116" s="22">
        <f>M117+M118+M119+M120+M121</f>
        <v>12939</v>
      </c>
      <c r="N116" s="22">
        <f>N117+N118+N119+N120+N121</f>
        <v>12263</v>
      </c>
      <c r="O116" s="110">
        <f t="shared" ref="O116:O121" si="131">((N116-M116)/M116)*100</f>
        <v>-5.224515032073576</v>
      </c>
      <c r="P116" s="111">
        <f>(N116/N$179)*100</f>
        <v>0.11795601643977713</v>
      </c>
      <c r="Q116" s="22">
        <f>Q117+Q118+Q119+Q120+Q121</f>
        <v>165311</v>
      </c>
      <c r="R116" s="22">
        <f>R117+R118+R119+R120+R121</f>
        <v>39292</v>
      </c>
      <c r="S116" s="110">
        <f t="shared" ref="S116:S121" si="132">((R116-Q116)/Q116)*100</f>
        <v>-76.231466750548975</v>
      </c>
      <c r="T116" s="22">
        <f>T117+T118+T119+T120+T121</f>
        <v>1732447</v>
      </c>
      <c r="U116" s="22">
        <f>U117+U118+U119+U120+U121</f>
        <v>447143</v>
      </c>
      <c r="V116" s="110">
        <f t="shared" ref="V116:V121" si="133">((U116-T116)/T116)*100</f>
        <v>-74.190090663668201</v>
      </c>
      <c r="W116" s="111">
        <f>(U116/U$179)*100</f>
        <v>0.56320945869137495</v>
      </c>
      <c r="X116" s="12">
        <f>X117+X118+X119+X120+X121</f>
        <v>2220.5646223000003</v>
      </c>
      <c r="Y116" s="12">
        <f>Y117+Y118+Y119+Y120+Y121</f>
        <v>2354.4791052999999</v>
      </c>
      <c r="Z116" s="110">
        <f t="shared" ref="Z116:Z121" si="134">((Y116-X116)/X116)*100</f>
        <v>6.0306501173244218</v>
      </c>
      <c r="AA116" s="12">
        <f>AA117+AA118+AA119+AA120+AA121</f>
        <v>16192.330951899999</v>
      </c>
      <c r="AB116" s="12">
        <f>AB117+AB118+AB119+AB120+AB121</f>
        <v>23285.966707300002</v>
      </c>
      <c r="AC116" s="110">
        <f t="shared" ref="AC116:AC121" si="135">((AB116-AA116)/AA116)*100</f>
        <v>43.808613944909759</v>
      </c>
      <c r="AD116" s="111">
        <f>(AB116/AB$179)*100</f>
        <v>0.9130501070463235</v>
      </c>
    </row>
    <row r="117" spans="1:30" s="29" customFormat="1">
      <c r="A117" s="5"/>
      <c r="B117" s="8" t="s">
        <v>3</v>
      </c>
      <c r="C117" s="15">
        <v>0.12904870000000002</v>
      </c>
      <c r="D117" s="11">
        <v>0.50705290000000003</v>
      </c>
      <c r="E117" s="114">
        <f t="shared" si="128"/>
        <v>292.91593018759585</v>
      </c>
      <c r="F117" s="15">
        <v>0.78785320000000003</v>
      </c>
      <c r="G117" s="11">
        <v>2.9280275000000002</v>
      </c>
      <c r="H117" s="114">
        <f t="shared" si="129"/>
        <v>271.64632954464105</v>
      </c>
      <c r="I117" s="115">
        <f>(G117/G$180)*100</f>
        <v>1.6846293892617152E-2</v>
      </c>
      <c r="J117" s="103">
        <v>554</v>
      </c>
      <c r="K117" s="103">
        <v>11</v>
      </c>
      <c r="L117" s="114">
        <f t="shared" si="130"/>
        <v>-98.014440433212997</v>
      </c>
      <c r="M117" s="103">
        <v>1673</v>
      </c>
      <c r="N117" s="103">
        <v>52</v>
      </c>
      <c r="O117" s="114">
        <f t="shared" si="131"/>
        <v>-96.891811117752539</v>
      </c>
      <c r="P117" s="115">
        <f>(N117/N$180)*100</f>
        <v>1.0249779235524158E-2</v>
      </c>
      <c r="Q117" s="103">
        <v>0</v>
      </c>
      <c r="R117" s="103">
        <v>0</v>
      </c>
      <c r="S117" s="106" t="s">
        <v>57</v>
      </c>
      <c r="T117" s="103">
        <v>0</v>
      </c>
      <c r="U117" s="103">
        <v>0</v>
      </c>
      <c r="V117" s="106" t="s">
        <v>57</v>
      </c>
      <c r="W117" s="106" t="s">
        <v>57</v>
      </c>
      <c r="X117" s="15">
        <v>12.371874999999999</v>
      </c>
      <c r="Y117" s="15">
        <v>0.59125899999999998</v>
      </c>
      <c r="Z117" s="114">
        <f t="shared" si="134"/>
        <v>-95.220942662288451</v>
      </c>
      <c r="AA117" s="15">
        <v>33.807374899999999</v>
      </c>
      <c r="AB117" s="15">
        <v>4.1306858000000002</v>
      </c>
      <c r="AC117" s="114">
        <f t="shared" si="135"/>
        <v>-87.781702033303972</v>
      </c>
      <c r="AD117" s="115">
        <f>(AB117/AB$180)*100</f>
        <v>2.2288736052720561E-2</v>
      </c>
    </row>
    <row r="118" spans="1:30" s="29" customFormat="1">
      <c r="A118" s="5"/>
      <c r="B118" s="8" t="s">
        <v>4</v>
      </c>
      <c r="C118" s="15">
        <v>10.0503214</v>
      </c>
      <c r="D118" s="11">
        <v>9.7020912999999993</v>
      </c>
      <c r="E118" s="114">
        <f t="shared" si="128"/>
        <v>-3.4648653126655264</v>
      </c>
      <c r="F118" s="15">
        <v>57.133807599999997</v>
      </c>
      <c r="G118" s="11">
        <v>54.268180299999997</v>
      </c>
      <c r="H118" s="114">
        <f t="shared" si="129"/>
        <v>-5.0156420871904226</v>
      </c>
      <c r="I118" s="115">
        <f>(G118/G$181)*100</f>
        <v>0.16848552601663716</v>
      </c>
      <c r="J118" s="103">
        <v>2226</v>
      </c>
      <c r="K118" s="103">
        <v>2844</v>
      </c>
      <c r="L118" s="114">
        <f t="shared" si="130"/>
        <v>27.762803234501348</v>
      </c>
      <c r="M118" s="103">
        <v>11126</v>
      </c>
      <c r="N118" s="103">
        <v>12131</v>
      </c>
      <c r="O118" s="114">
        <f t="shared" si="131"/>
        <v>9.0328959194679133</v>
      </c>
      <c r="P118" s="115">
        <f>(N118/N$181)*100</f>
        <v>0.12286010132641512</v>
      </c>
      <c r="Q118" s="103">
        <v>0</v>
      </c>
      <c r="R118" s="103">
        <v>0</v>
      </c>
      <c r="S118" s="106" t="s">
        <v>57</v>
      </c>
      <c r="T118" s="103">
        <v>0</v>
      </c>
      <c r="U118" s="103">
        <v>0</v>
      </c>
      <c r="V118" s="106" t="s">
        <v>57</v>
      </c>
      <c r="W118" s="106" t="s">
        <v>57</v>
      </c>
      <c r="X118" s="15">
        <v>86.674182400000007</v>
      </c>
      <c r="Y118" s="15">
        <v>97.221444100000014</v>
      </c>
      <c r="Z118" s="114">
        <f t="shared" si="134"/>
        <v>12.168862062435799</v>
      </c>
      <c r="AA118" s="15">
        <v>403.084833</v>
      </c>
      <c r="AB118" s="15">
        <v>458.22584560000001</v>
      </c>
      <c r="AC118" s="114">
        <f t="shared" si="135"/>
        <v>13.679753760419958</v>
      </c>
      <c r="AD118" s="115">
        <f>(AB118/AB$181)*100</f>
        <v>5.635785344051867E-2</v>
      </c>
    </row>
    <row r="119" spans="1:30" s="29" customFormat="1">
      <c r="A119" s="5"/>
      <c r="B119" s="8" t="s">
        <v>5</v>
      </c>
      <c r="C119" s="15">
        <v>9.6143441820000017</v>
      </c>
      <c r="D119" s="11">
        <v>12.537275304</v>
      </c>
      <c r="E119" s="114">
        <f t="shared" si="128"/>
        <v>30.401773294868274</v>
      </c>
      <c r="F119" s="15">
        <v>16.628316980000001</v>
      </c>
      <c r="G119" s="11">
        <v>49.491644824000005</v>
      </c>
      <c r="H119" s="114">
        <f t="shared" si="129"/>
        <v>197.63472084112269</v>
      </c>
      <c r="I119" s="115">
        <f>(G119/G$182)*100</f>
        <v>6.380562643808553E-2</v>
      </c>
      <c r="J119" s="103">
        <v>2</v>
      </c>
      <c r="K119" s="103">
        <v>1</v>
      </c>
      <c r="L119" s="114">
        <f t="shared" si="130"/>
        <v>-50</v>
      </c>
      <c r="M119" s="103">
        <v>8</v>
      </c>
      <c r="N119" s="103">
        <v>2</v>
      </c>
      <c r="O119" s="114">
        <f t="shared" si="131"/>
        <v>-75</v>
      </c>
      <c r="P119" s="115">
        <f>(N119/N$182)*100</f>
        <v>0.34129692832764508</v>
      </c>
      <c r="Q119" s="103">
        <v>31604</v>
      </c>
      <c r="R119" s="103">
        <v>27050</v>
      </c>
      <c r="S119" s="114">
        <f t="shared" si="132"/>
        <v>-14.409568409062143</v>
      </c>
      <c r="T119" s="103">
        <v>273039</v>
      </c>
      <c r="U119" s="103">
        <v>108543</v>
      </c>
      <c r="V119" s="114">
        <f t="shared" si="133"/>
        <v>-60.246338435168603</v>
      </c>
      <c r="W119" s="115">
        <f>(U119/U$182)*100</f>
        <v>0.23739403926472868</v>
      </c>
      <c r="X119" s="15">
        <v>423.24952490000004</v>
      </c>
      <c r="Y119" s="15">
        <v>613.89185880000002</v>
      </c>
      <c r="Z119" s="114">
        <f t="shared" si="134"/>
        <v>45.042539373208399</v>
      </c>
      <c r="AA119" s="15">
        <v>1303.0640999</v>
      </c>
      <c r="AB119" s="15">
        <v>2396.4467965999997</v>
      </c>
      <c r="AC119" s="114">
        <f t="shared" si="135"/>
        <v>83.908588747392272</v>
      </c>
      <c r="AD119" s="115">
        <f>(AB119/AB$182)*100</f>
        <v>0.43131693942005728</v>
      </c>
    </row>
    <row r="120" spans="1:30" s="29" customFormat="1">
      <c r="A120" s="5"/>
      <c r="B120" s="8" t="s">
        <v>6</v>
      </c>
      <c r="C120" s="15">
        <v>0</v>
      </c>
      <c r="D120" s="11">
        <v>0</v>
      </c>
      <c r="E120" s="106" t="s">
        <v>57</v>
      </c>
      <c r="F120" s="15">
        <v>0</v>
      </c>
      <c r="G120" s="11">
        <v>0</v>
      </c>
      <c r="H120" s="106" t="s">
        <v>57</v>
      </c>
      <c r="I120" s="115">
        <f>(G120/G$183)*100</f>
        <v>0</v>
      </c>
      <c r="J120" s="103">
        <v>0</v>
      </c>
      <c r="K120" s="103">
        <v>0</v>
      </c>
      <c r="L120" s="106" t="s">
        <v>57</v>
      </c>
      <c r="M120" s="103">
        <v>0</v>
      </c>
      <c r="N120" s="103">
        <v>0</v>
      </c>
      <c r="O120" s="106" t="s">
        <v>57</v>
      </c>
      <c r="P120" s="115">
        <f>(N120/N$183)*100</f>
        <v>0</v>
      </c>
      <c r="Q120" s="103">
        <v>0</v>
      </c>
      <c r="R120" s="103">
        <v>0</v>
      </c>
      <c r="S120" s="106" t="s">
        <v>57</v>
      </c>
      <c r="T120" s="103">
        <v>0</v>
      </c>
      <c r="U120" s="103">
        <v>0</v>
      </c>
      <c r="V120" s="106" t="s">
        <v>57</v>
      </c>
      <c r="W120" s="115">
        <f>(U120/U$183)*100</f>
        <v>0</v>
      </c>
      <c r="X120" s="15">
        <v>0</v>
      </c>
      <c r="Y120" s="15">
        <v>0</v>
      </c>
      <c r="Z120" s="106" t="s">
        <v>57</v>
      </c>
      <c r="AA120" s="15">
        <v>0</v>
      </c>
      <c r="AB120" s="15">
        <v>0</v>
      </c>
      <c r="AC120" s="106" t="s">
        <v>57</v>
      </c>
      <c r="AD120" s="115">
        <f>(AB120/AB$183)*100</f>
        <v>0</v>
      </c>
    </row>
    <row r="121" spans="1:30" s="29" customFormat="1">
      <c r="A121" s="5"/>
      <c r="B121" s="25" t="s">
        <v>25</v>
      </c>
      <c r="C121" s="15">
        <v>1.2746569980821918</v>
      </c>
      <c r="D121" s="11">
        <v>0.98824429699999994</v>
      </c>
      <c r="E121" s="114">
        <f t="shared" si="128"/>
        <v>-22.469786108193755</v>
      </c>
      <c r="F121" s="15">
        <v>19.3967810764007</v>
      </c>
      <c r="G121" s="11">
        <v>20.971453843999999</v>
      </c>
      <c r="H121" s="114">
        <f t="shared" si="129"/>
        <v>8.1182169422695694</v>
      </c>
      <c r="I121" s="115">
        <f>(G121/G$184)*100</f>
        <v>0.53882071272033916</v>
      </c>
      <c r="J121" s="103">
        <v>14</v>
      </c>
      <c r="K121" s="103">
        <v>1</v>
      </c>
      <c r="L121" s="114">
        <f t="shared" si="130"/>
        <v>-92.857142857142861</v>
      </c>
      <c r="M121" s="103">
        <v>132</v>
      </c>
      <c r="N121" s="103">
        <v>78</v>
      </c>
      <c r="O121" s="114">
        <f t="shared" si="131"/>
        <v>-40.909090909090914</v>
      </c>
      <c r="P121" s="115">
        <f>(N121/N$184)*100</f>
        <v>0.70295602018745496</v>
      </c>
      <c r="Q121" s="103">
        <v>133707</v>
      </c>
      <c r="R121" s="103">
        <v>12242</v>
      </c>
      <c r="S121" s="114">
        <f t="shared" si="132"/>
        <v>-90.844159243719474</v>
      </c>
      <c r="T121" s="103">
        <v>1459408</v>
      </c>
      <c r="U121" s="103">
        <v>338600</v>
      </c>
      <c r="V121" s="114">
        <f t="shared" si="133"/>
        <v>-76.798811572911745</v>
      </c>
      <c r="W121" s="115">
        <f>(U121/U$184)*100</f>
        <v>1.0697533188654411</v>
      </c>
      <c r="X121" s="15">
        <v>1698.2690400000001</v>
      </c>
      <c r="Y121" s="15">
        <v>1642.7745433999999</v>
      </c>
      <c r="Z121" s="114">
        <f t="shared" si="134"/>
        <v>-3.2677093730684907</v>
      </c>
      <c r="AA121" s="15">
        <v>14452.3746441</v>
      </c>
      <c r="AB121" s="15">
        <v>20427.1633793</v>
      </c>
      <c r="AC121" s="114">
        <f t="shared" si="135"/>
        <v>41.341225108907146</v>
      </c>
      <c r="AD121" s="115">
        <f>(AB121/AB$184)*100</f>
        <v>2.0069358522430161</v>
      </c>
    </row>
    <row r="122" spans="1:30" s="29" customFormat="1">
      <c r="A122" s="5"/>
      <c r="B122" s="25"/>
      <c r="C122" s="15"/>
      <c r="D122" s="11"/>
      <c r="E122" s="114"/>
      <c r="F122" s="15"/>
      <c r="G122" s="11"/>
      <c r="H122" s="114"/>
      <c r="I122" s="115"/>
      <c r="J122" s="103"/>
      <c r="K122" s="103"/>
      <c r="L122" s="114"/>
      <c r="M122" s="103"/>
      <c r="N122" s="103"/>
      <c r="O122" s="114"/>
      <c r="P122" s="115"/>
      <c r="Q122" s="103"/>
      <c r="R122" s="103"/>
      <c r="S122" s="114"/>
      <c r="T122" s="103"/>
      <c r="U122" s="103"/>
      <c r="V122" s="114"/>
      <c r="W122" s="115"/>
      <c r="X122" s="15"/>
      <c r="Y122" s="15"/>
      <c r="Z122" s="114"/>
      <c r="AA122" s="15"/>
      <c r="AB122" s="15"/>
      <c r="AC122" s="114"/>
      <c r="AD122" s="115"/>
    </row>
    <row r="123" spans="1:30" s="30" customFormat="1" ht="15">
      <c r="A123" s="16">
        <v>18</v>
      </c>
      <c r="B123" s="107" t="s">
        <v>40</v>
      </c>
      <c r="C123" s="12">
        <f>C124+C125+C126+C127+C128</f>
        <v>85.087529055000005</v>
      </c>
      <c r="D123" s="12">
        <f>D124+D125+D126+D127+D128</f>
        <v>92.639016941999998</v>
      </c>
      <c r="E123" s="110">
        <f t="shared" ref="E123:E128" si="136">((D123-C123)/C123)*100</f>
        <v>8.8749643700650438</v>
      </c>
      <c r="F123" s="12">
        <f>F124+F125+F126+F127+F128</f>
        <v>384.66163875900008</v>
      </c>
      <c r="G123" s="12">
        <f>G124+G125+G126+G127+G128</f>
        <v>476.63501223899993</v>
      </c>
      <c r="H123" s="110">
        <f t="shared" ref="H123:H128" si="137">((G123-F123)/F123)*100</f>
        <v>23.910201645457924</v>
      </c>
      <c r="I123" s="111">
        <f>(G123/G$179)*100</f>
        <v>0.36113667534980975</v>
      </c>
      <c r="J123" s="22">
        <f>J124+J125+J126+J127+J128</f>
        <v>16996</v>
      </c>
      <c r="K123" s="22">
        <f>K124+K125+K126+K127+K128</f>
        <v>14049</v>
      </c>
      <c r="L123" s="110">
        <f t="shared" ref="L123:L128" si="138">((K123-J123)/J123)*100</f>
        <v>-17.339373970345964</v>
      </c>
      <c r="M123" s="22">
        <f>M124+M125+M126+M127+M128</f>
        <v>83549</v>
      </c>
      <c r="N123" s="22">
        <f>N124+N125+N126+N127+N128</f>
        <v>73199</v>
      </c>
      <c r="O123" s="110">
        <f t="shared" ref="O123:O128" si="139">((N123-M123)/M123)*100</f>
        <v>-12.387940011250882</v>
      </c>
      <c r="P123" s="111">
        <f>(N123/N$179)*100</f>
        <v>0.70409055266861664</v>
      </c>
      <c r="Q123" s="22">
        <f>Q124+Q125+Q126+Q127+Q128</f>
        <v>-5593</v>
      </c>
      <c r="R123" s="22">
        <f>R124+R125+R126+R127+R128</f>
        <v>7039</v>
      </c>
      <c r="S123" s="110">
        <f t="shared" ref="S123:S128" si="140">((R123-Q123)/Q123)*100</f>
        <v>-225.85374575362059</v>
      </c>
      <c r="T123" s="22">
        <f>T124+T125+T126+T127+T128</f>
        <v>-55943</v>
      </c>
      <c r="U123" s="22">
        <f>U124+U125+U126+U127+U128</f>
        <v>23583</v>
      </c>
      <c r="V123" s="110">
        <f t="shared" ref="V123:V128" si="141">((U123-T123)/T123)*100</f>
        <v>-142.15540818332946</v>
      </c>
      <c r="W123" s="111">
        <f>(U123/U$179)*100</f>
        <v>2.970452106891687E-2</v>
      </c>
      <c r="X123" s="12">
        <f>X124+X125+X126+X127+X128</f>
        <v>1451.3464115999996</v>
      </c>
      <c r="Y123" s="12">
        <f>Y124+Y125+Y126+Y127+Y128</f>
        <v>1284.8477166000005</v>
      </c>
      <c r="Z123" s="110">
        <f t="shared" ref="Z123:Z128" si="142">((Y123-X123)/X123)*100</f>
        <v>-11.472016168520849</v>
      </c>
      <c r="AA123" s="12">
        <f>AA124+AA125+AA126+AA127+AA128</f>
        <v>8209.7916741000008</v>
      </c>
      <c r="AB123" s="12">
        <f>AB124+AB125+AB126+AB127+AB128</f>
        <v>9740.137273899998</v>
      </c>
      <c r="AC123" s="110">
        <f t="shared" ref="AC123:AC128" si="143">((AB123-AA123)/AA123)*100</f>
        <v>18.640492482018569</v>
      </c>
      <c r="AD123" s="111">
        <f>(AB123/AB$179)*100</f>
        <v>0.38191385791994231</v>
      </c>
    </row>
    <row r="124" spans="1:30" s="33" customFormat="1" ht="14.25" customHeight="1">
      <c r="A124" s="5"/>
      <c r="B124" s="108" t="s">
        <v>3</v>
      </c>
      <c r="C124" s="15">
        <v>4.9766639000000019</v>
      </c>
      <c r="D124" s="11">
        <v>2.7892632999999996</v>
      </c>
      <c r="E124" s="114">
        <f t="shared" si="136"/>
        <v>-43.953151025529401</v>
      </c>
      <c r="F124" s="15">
        <v>18.999681916</v>
      </c>
      <c r="G124" s="11">
        <v>23.009753368000002</v>
      </c>
      <c r="H124" s="114">
        <f t="shared" si="137"/>
        <v>21.10599256202833</v>
      </c>
      <c r="I124" s="115">
        <f>(G124/G$180)*100</f>
        <v>0.13238573327400965</v>
      </c>
      <c r="J124" s="103">
        <v>147</v>
      </c>
      <c r="K124" s="103">
        <v>101</v>
      </c>
      <c r="L124" s="114">
        <f t="shared" si="138"/>
        <v>-31.292517006802722</v>
      </c>
      <c r="M124" s="103">
        <v>675</v>
      </c>
      <c r="N124" s="103">
        <v>767</v>
      </c>
      <c r="O124" s="114">
        <f t="shared" si="139"/>
        <v>13.62962962962963</v>
      </c>
      <c r="P124" s="115">
        <f>(N124/N$180)*100</f>
        <v>0.15118424372398134</v>
      </c>
      <c r="Q124" s="103">
        <v>0</v>
      </c>
      <c r="R124" s="103">
        <v>0</v>
      </c>
      <c r="S124" s="106" t="s">
        <v>57</v>
      </c>
      <c r="T124" s="103">
        <v>0</v>
      </c>
      <c r="U124" s="103">
        <v>0</v>
      </c>
      <c r="V124" s="106" t="s">
        <v>57</v>
      </c>
      <c r="W124" s="106" t="s">
        <v>57</v>
      </c>
      <c r="X124" s="15">
        <v>3.3425776000000007</v>
      </c>
      <c r="Y124" s="15">
        <v>2.9241931999999995</v>
      </c>
      <c r="Z124" s="114">
        <f t="shared" si="142"/>
        <v>-12.516819355218592</v>
      </c>
      <c r="AA124" s="15">
        <v>14.465821999999998</v>
      </c>
      <c r="AB124" s="15">
        <v>16.9495811</v>
      </c>
      <c r="AC124" s="114">
        <f t="shared" si="143"/>
        <v>17.169844202424187</v>
      </c>
      <c r="AD124" s="115">
        <f>(AB124/AB$180)*100</f>
        <v>9.1458115585087818E-2</v>
      </c>
    </row>
    <row r="125" spans="1:30" s="29" customFormat="1">
      <c r="A125" s="5"/>
      <c r="B125" s="108" t="s">
        <v>4</v>
      </c>
      <c r="C125" s="15">
        <v>76.339753825000003</v>
      </c>
      <c r="D125" s="11">
        <v>74.763990714999991</v>
      </c>
      <c r="E125" s="114">
        <f t="shared" si="136"/>
        <v>-2.0641448669225007</v>
      </c>
      <c r="F125" s="15">
        <v>351.11153655600009</v>
      </c>
      <c r="G125" s="11">
        <v>365.11269865499992</v>
      </c>
      <c r="H125" s="114">
        <f t="shared" si="137"/>
        <v>3.9876679178175425</v>
      </c>
      <c r="I125" s="115">
        <f>(G125/G$181)*100</f>
        <v>1.1335593850424648</v>
      </c>
      <c r="J125" s="103">
        <v>16838</v>
      </c>
      <c r="K125" s="103">
        <v>13938</v>
      </c>
      <c r="L125" s="114">
        <f t="shared" si="138"/>
        <v>-17.222948093597815</v>
      </c>
      <c r="M125" s="103">
        <v>82846</v>
      </c>
      <c r="N125" s="103">
        <v>72384</v>
      </c>
      <c r="O125" s="114">
        <f t="shared" si="139"/>
        <v>-12.628250006035294</v>
      </c>
      <c r="P125" s="115">
        <f>(N125/N$181)*100</f>
        <v>0.73308924032736222</v>
      </c>
      <c r="Q125" s="103">
        <v>0</v>
      </c>
      <c r="R125" s="103">
        <v>0</v>
      </c>
      <c r="S125" s="106" t="s">
        <v>57</v>
      </c>
      <c r="T125" s="103">
        <v>0</v>
      </c>
      <c r="U125" s="103">
        <v>0</v>
      </c>
      <c r="V125" s="106" t="s">
        <v>57</v>
      </c>
      <c r="W125" s="106" t="s">
        <v>57</v>
      </c>
      <c r="X125" s="15">
        <v>1452.0576487999997</v>
      </c>
      <c r="Y125" s="15">
        <v>1099.9102543000004</v>
      </c>
      <c r="Z125" s="114">
        <f t="shared" si="142"/>
        <v>-24.251612516281206</v>
      </c>
      <c r="AA125" s="15">
        <v>6275.9936263</v>
      </c>
      <c r="AB125" s="15">
        <v>6383.5604128999994</v>
      </c>
      <c r="AC125" s="114">
        <f t="shared" si="143"/>
        <v>1.7139403416414116</v>
      </c>
      <c r="AD125" s="115">
        <f>(AB125/AB$181)*100</f>
        <v>0.78512324355655017</v>
      </c>
    </row>
    <row r="126" spans="1:30" s="29" customFormat="1">
      <c r="A126" s="5"/>
      <c r="B126" s="108" t="s">
        <v>5</v>
      </c>
      <c r="C126" s="15">
        <v>0</v>
      </c>
      <c r="D126" s="11">
        <v>0</v>
      </c>
      <c r="E126" s="106" t="s">
        <v>57</v>
      </c>
      <c r="F126" s="15">
        <v>0</v>
      </c>
      <c r="G126" s="11">
        <v>0</v>
      </c>
      <c r="H126" s="106" t="s">
        <v>57</v>
      </c>
      <c r="I126" s="115">
        <f>(G126/G$182)*100</f>
        <v>0</v>
      </c>
      <c r="J126" s="103">
        <v>0</v>
      </c>
      <c r="K126" s="103">
        <v>0</v>
      </c>
      <c r="L126" s="106" t="s">
        <v>57</v>
      </c>
      <c r="M126" s="103">
        <v>0</v>
      </c>
      <c r="N126" s="103">
        <v>0</v>
      </c>
      <c r="O126" s="106" t="s">
        <v>57</v>
      </c>
      <c r="P126" s="115">
        <f>(N126/N$182)*100</f>
        <v>0</v>
      </c>
      <c r="Q126" s="103">
        <v>-682</v>
      </c>
      <c r="R126" s="103">
        <v>-439</v>
      </c>
      <c r="S126" s="114">
        <f t="shared" si="140"/>
        <v>-35.630498533724342</v>
      </c>
      <c r="T126" s="103">
        <v>-3237</v>
      </c>
      <c r="U126" s="103">
        <v>-2236</v>
      </c>
      <c r="V126" s="114">
        <f t="shared" si="141"/>
        <v>-30.923694779116467</v>
      </c>
      <c r="W126" s="115">
        <f>(U126/U$182)*100</f>
        <v>-4.8903482656268331E-3</v>
      </c>
      <c r="X126" s="15">
        <v>-33.586103399999999</v>
      </c>
      <c r="Y126" s="15">
        <v>-48.9102003</v>
      </c>
      <c r="Z126" s="114">
        <f t="shared" si="142"/>
        <v>45.626301799571074</v>
      </c>
      <c r="AA126" s="15">
        <v>-250.92091069999998</v>
      </c>
      <c r="AB126" s="15">
        <v>-269.05649769999997</v>
      </c>
      <c r="AC126" s="114">
        <f t="shared" si="143"/>
        <v>7.2276108632822638</v>
      </c>
      <c r="AD126" s="115">
        <f>(AB126/AB$182)*100</f>
        <v>-4.8425287506357183E-2</v>
      </c>
    </row>
    <row r="127" spans="1:30" s="29" customFormat="1">
      <c r="A127" s="5"/>
      <c r="B127" s="108" t="s">
        <v>6</v>
      </c>
      <c r="C127" s="15">
        <v>3.1479383200000006</v>
      </c>
      <c r="D127" s="11">
        <v>14.412385836999999</v>
      </c>
      <c r="E127" s="114">
        <f t="shared" si="136"/>
        <v>357.83571251802658</v>
      </c>
      <c r="F127" s="15">
        <v>11.491348821999999</v>
      </c>
      <c r="G127" s="11">
        <v>79.427995469999985</v>
      </c>
      <c r="H127" s="114">
        <f t="shared" si="137"/>
        <v>591.1981935309143</v>
      </c>
      <c r="I127" s="115">
        <f>(G127/G$183)*100</f>
        <v>8.5106726676021047</v>
      </c>
      <c r="J127" s="103">
        <v>5</v>
      </c>
      <c r="K127" s="103">
        <v>7</v>
      </c>
      <c r="L127" s="114">
        <f t="shared" si="138"/>
        <v>40</v>
      </c>
      <c r="M127" s="103">
        <v>10</v>
      </c>
      <c r="N127" s="103">
        <v>21</v>
      </c>
      <c r="O127" s="114">
        <f t="shared" si="139"/>
        <v>110.00000000000001</v>
      </c>
      <c r="P127" s="115">
        <f>(N127/N$183)*100</f>
        <v>0.6165590135055784</v>
      </c>
      <c r="Q127" s="103">
        <v>183</v>
      </c>
      <c r="R127" s="103">
        <v>4554</v>
      </c>
      <c r="S127" s="114">
        <f t="shared" si="140"/>
        <v>2388.5245901639346</v>
      </c>
      <c r="T127" s="103">
        <v>-4454</v>
      </c>
      <c r="U127" s="103">
        <v>9919</v>
      </c>
      <c r="V127" s="114">
        <f t="shared" si="141"/>
        <v>-322.69869779973061</v>
      </c>
      <c r="W127" s="115">
        <f>(U127/U$183)*100</f>
        <v>0.49174971976859655</v>
      </c>
      <c r="X127" s="15">
        <v>-9.4002721999999999</v>
      </c>
      <c r="Y127" s="15">
        <v>19.8387508</v>
      </c>
      <c r="Z127" s="114">
        <f t="shared" si="142"/>
        <v>-311.0444291177015</v>
      </c>
      <c r="AA127" s="15">
        <v>-115.78406200000001</v>
      </c>
      <c r="AB127" s="15">
        <v>20.4592341</v>
      </c>
      <c r="AC127" s="114">
        <f t="shared" si="143"/>
        <v>-117.67016439620161</v>
      </c>
      <c r="AD127" s="115">
        <f>(AB127/AB$183)*100</f>
        <v>1.4079529994049197E-2</v>
      </c>
    </row>
    <row r="128" spans="1:30" s="29" customFormat="1">
      <c r="A128" s="5"/>
      <c r="B128" s="108" t="s">
        <v>25</v>
      </c>
      <c r="C128" s="15">
        <v>0.62317301000000003</v>
      </c>
      <c r="D128" s="11">
        <v>0.6733770899999999</v>
      </c>
      <c r="E128" s="114">
        <f t="shared" si="136"/>
        <v>8.0562025624312383</v>
      </c>
      <c r="F128" s="15">
        <v>3.0590714649999988</v>
      </c>
      <c r="G128" s="11">
        <v>9.0845647459999981</v>
      </c>
      <c r="H128" s="114">
        <f t="shared" si="137"/>
        <v>196.97131466001895</v>
      </c>
      <c r="I128" s="115">
        <f>(G128/G$184)*100</f>
        <v>0.2334102197971481</v>
      </c>
      <c r="J128" s="103">
        <v>6</v>
      </c>
      <c r="K128" s="103">
        <v>3</v>
      </c>
      <c r="L128" s="114">
        <f t="shared" si="138"/>
        <v>-50</v>
      </c>
      <c r="M128" s="103">
        <v>18</v>
      </c>
      <c r="N128" s="103">
        <v>27</v>
      </c>
      <c r="O128" s="114">
        <f t="shared" si="139"/>
        <v>50</v>
      </c>
      <c r="P128" s="115">
        <f>(N128/N$184)*100</f>
        <v>0.24333093006488823</v>
      </c>
      <c r="Q128" s="103">
        <v>-5094</v>
      </c>
      <c r="R128" s="103">
        <v>2924</v>
      </c>
      <c r="S128" s="114">
        <f t="shared" si="140"/>
        <v>-157.40086376128778</v>
      </c>
      <c r="T128" s="103">
        <v>-48252</v>
      </c>
      <c r="U128" s="103">
        <v>15900</v>
      </c>
      <c r="V128" s="114">
        <f t="shared" si="141"/>
        <v>-132.95200198955484</v>
      </c>
      <c r="W128" s="115">
        <f>(U128/U$184)*100</f>
        <v>5.0233543325341148E-2</v>
      </c>
      <c r="X128" s="15">
        <v>38.932560799999997</v>
      </c>
      <c r="Y128" s="15">
        <v>211.0847186</v>
      </c>
      <c r="Z128" s="114">
        <f t="shared" si="142"/>
        <v>442.18041213461612</v>
      </c>
      <c r="AA128" s="15">
        <v>2286.0371984999997</v>
      </c>
      <c r="AB128" s="15">
        <v>3588.2245435</v>
      </c>
      <c r="AC128" s="114">
        <f t="shared" si="143"/>
        <v>56.962648982896702</v>
      </c>
      <c r="AD128" s="115">
        <f>(AB128/AB$184)*100</f>
        <v>0.35253727345941732</v>
      </c>
    </row>
    <row r="129" spans="1:30" s="29" customFormat="1">
      <c r="A129" s="5"/>
      <c r="B129" s="108"/>
      <c r="C129" s="15"/>
      <c r="D129" s="11"/>
      <c r="E129" s="114"/>
      <c r="F129" s="15"/>
      <c r="G129" s="11"/>
      <c r="H129" s="114"/>
      <c r="I129" s="115"/>
      <c r="J129" s="103"/>
      <c r="K129" s="103"/>
      <c r="L129" s="114"/>
      <c r="M129" s="103"/>
      <c r="N129" s="103"/>
      <c r="O129" s="114"/>
      <c r="P129" s="115"/>
      <c r="Q129" s="103"/>
      <c r="R129" s="103"/>
      <c r="S129" s="114"/>
      <c r="T129" s="103"/>
      <c r="U129" s="103"/>
      <c r="V129" s="114"/>
      <c r="W129" s="115"/>
      <c r="X129" s="15"/>
      <c r="Y129" s="15"/>
      <c r="Z129" s="114"/>
      <c r="AA129" s="15"/>
      <c r="AB129" s="15"/>
      <c r="AC129" s="114"/>
      <c r="AD129" s="115"/>
    </row>
    <row r="130" spans="1:30" s="30" customFormat="1" ht="15">
      <c r="A130" s="16">
        <v>19</v>
      </c>
      <c r="B130" s="107" t="s">
        <v>12</v>
      </c>
      <c r="C130" s="12">
        <f>C131+C132+C133+C134+C135</f>
        <v>0</v>
      </c>
      <c r="D130" s="12">
        <f>D131+D132+D133+D134+D135</f>
        <v>0</v>
      </c>
      <c r="E130" s="119" t="s">
        <v>57</v>
      </c>
      <c r="F130" s="12">
        <f>F131+F132+F133+F134+F135</f>
        <v>7.3371E-3</v>
      </c>
      <c r="G130" s="12">
        <f>G131+G132+G133+G134+G135</f>
        <v>1.197E-4</v>
      </c>
      <c r="H130" s="119" t="s">
        <v>57</v>
      </c>
      <c r="I130" s="111">
        <f>(G130/G$179)*100</f>
        <v>9.0694260659341386E-8</v>
      </c>
      <c r="J130" s="22">
        <f>J131+J132+J133+J134+J135</f>
        <v>0</v>
      </c>
      <c r="K130" s="22">
        <f>K131+K132+K133+K134+K135</f>
        <v>0</v>
      </c>
      <c r="L130" s="119" t="s">
        <v>57</v>
      </c>
      <c r="M130" s="22">
        <f>M131+M132+M133+M134+M135</f>
        <v>0</v>
      </c>
      <c r="N130" s="22">
        <f>N131+N132+N133+N134+N135</f>
        <v>0</v>
      </c>
      <c r="O130" s="119" t="s">
        <v>57</v>
      </c>
      <c r="P130" s="111">
        <f>(N130/N$179)*100</f>
        <v>0</v>
      </c>
      <c r="Q130" s="22">
        <f>Q131+Q132+Q133+Q134+Q135</f>
        <v>0</v>
      </c>
      <c r="R130" s="22">
        <f>R131+R132+R133+R134+R135</f>
        <v>0</v>
      </c>
      <c r="S130" s="119" t="s">
        <v>57</v>
      </c>
      <c r="T130" s="22">
        <f>T131+T132+T133+T134+T135</f>
        <v>0</v>
      </c>
      <c r="U130" s="22">
        <f>U131+U132+U133+U134+U135</f>
        <v>0</v>
      </c>
      <c r="V130" s="119" t="s">
        <v>57</v>
      </c>
      <c r="W130" s="111">
        <f>(U130/U$179)*100</f>
        <v>0</v>
      </c>
      <c r="X130" s="12">
        <f>X131+X132+X133+X134+X135</f>
        <v>0</v>
      </c>
      <c r="Y130" s="12">
        <f>Y131+Y132+Y133+Y134+Y135</f>
        <v>0</v>
      </c>
      <c r="Z130" s="119" t="s">
        <v>57</v>
      </c>
      <c r="AA130" s="12">
        <f>AA131+AA132+AA133+AA134+AA135</f>
        <v>0</v>
      </c>
      <c r="AB130" s="12">
        <f>AB131+AB132+AB133+AB134+AB135</f>
        <v>0</v>
      </c>
      <c r="AC130" s="119" t="s">
        <v>57</v>
      </c>
      <c r="AD130" s="111">
        <f>(AB130/AB$179)*100</f>
        <v>0</v>
      </c>
    </row>
    <row r="131" spans="1:30" s="29" customFormat="1">
      <c r="A131" s="5"/>
      <c r="B131" s="108" t="s">
        <v>3</v>
      </c>
      <c r="C131" s="15">
        <v>0</v>
      </c>
      <c r="D131" s="11">
        <v>0</v>
      </c>
      <c r="E131" s="106" t="s">
        <v>57</v>
      </c>
      <c r="F131" s="15">
        <v>0</v>
      </c>
      <c r="G131" s="11">
        <v>0</v>
      </c>
      <c r="H131" s="106" t="s">
        <v>57</v>
      </c>
      <c r="I131" s="115">
        <f>(G131/G$180)*100</f>
        <v>0</v>
      </c>
      <c r="J131" s="103">
        <v>0</v>
      </c>
      <c r="K131" s="103">
        <v>0</v>
      </c>
      <c r="L131" s="106" t="s">
        <v>57</v>
      </c>
      <c r="M131" s="103">
        <v>0</v>
      </c>
      <c r="N131" s="103">
        <v>0</v>
      </c>
      <c r="O131" s="106" t="s">
        <v>57</v>
      </c>
      <c r="P131" s="115">
        <f>(N131/N$180)*100</f>
        <v>0</v>
      </c>
      <c r="Q131" s="103">
        <v>0</v>
      </c>
      <c r="R131" s="103">
        <v>0</v>
      </c>
      <c r="S131" s="106" t="s">
        <v>57</v>
      </c>
      <c r="T131" s="103">
        <v>0</v>
      </c>
      <c r="U131" s="103">
        <v>0</v>
      </c>
      <c r="V131" s="106" t="s">
        <v>57</v>
      </c>
      <c r="W131" s="106" t="s">
        <v>57</v>
      </c>
      <c r="X131" s="15">
        <v>0</v>
      </c>
      <c r="Y131" s="15">
        <v>0</v>
      </c>
      <c r="Z131" s="106" t="s">
        <v>57</v>
      </c>
      <c r="AA131" s="15">
        <v>0</v>
      </c>
      <c r="AB131" s="15">
        <v>0</v>
      </c>
      <c r="AC131" s="106" t="s">
        <v>57</v>
      </c>
      <c r="AD131" s="115">
        <f>(AB131/AB$180)*100</f>
        <v>0</v>
      </c>
    </row>
    <row r="132" spans="1:30" s="29" customFormat="1">
      <c r="A132" s="5"/>
      <c r="B132" s="108" t="s">
        <v>4</v>
      </c>
      <c r="C132" s="15">
        <v>0</v>
      </c>
      <c r="D132" s="11">
        <v>0</v>
      </c>
      <c r="E132" s="106" t="s">
        <v>57</v>
      </c>
      <c r="F132" s="15">
        <v>7.3371E-3</v>
      </c>
      <c r="G132" s="11">
        <v>1.197E-4</v>
      </c>
      <c r="H132" s="106" t="s">
        <v>57</v>
      </c>
      <c r="I132" s="115">
        <f>(G132/G$181)*100</f>
        <v>3.7163061950303627E-7</v>
      </c>
      <c r="J132" s="103">
        <v>0</v>
      </c>
      <c r="K132" s="103">
        <v>0</v>
      </c>
      <c r="L132" s="106" t="s">
        <v>57</v>
      </c>
      <c r="M132" s="103">
        <v>0</v>
      </c>
      <c r="N132" s="103">
        <v>0</v>
      </c>
      <c r="O132" s="106" t="s">
        <v>57</v>
      </c>
      <c r="P132" s="115">
        <f>(N132/N$181)*100</f>
        <v>0</v>
      </c>
      <c r="Q132" s="103">
        <v>0</v>
      </c>
      <c r="R132" s="103">
        <v>0</v>
      </c>
      <c r="S132" s="106" t="s">
        <v>57</v>
      </c>
      <c r="T132" s="103">
        <v>0</v>
      </c>
      <c r="U132" s="103">
        <v>0</v>
      </c>
      <c r="V132" s="106" t="s">
        <v>57</v>
      </c>
      <c r="W132" s="106" t="s">
        <v>57</v>
      </c>
      <c r="X132" s="15">
        <v>0</v>
      </c>
      <c r="Y132" s="15">
        <v>0</v>
      </c>
      <c r="Z132" s="106" t="s">
        <v>57</v>
      </c>
      <c r="AA132" s="15">
        <v>0</v>
      </c>
      <c r="AB132" s="15">
        <v>0</v>
      </c>
      <c r="AC132" s="106" t="s">
        <v>57</v>
      </c>
      <c r="AD132" s="115">
        <f>(AB132/AB$181)*100</f>
        <v>0</v>
      </c>
    </row>
    <row r="133" spans="1:30" s="29" customFormat="1">
      <c r="A133" s="5"/>
      <c r="B133" s="108" t="s">
        <v>5</v>
      </c>
      <c r="C133" s="15">
        <v>0</v>
      </c>
      <c r="D133" s="11">
        <v>0</v>
      </c>
      <c r="E133" s="106" t="s">
        <v>57</v>
      </c>
      <c r="F133" s="15">
        <v>0</v>
      </c>
      <c r="G133" s="11">
        <v>0</v>
      </c>
      <c r="H133" s="106" t="s">
        <v>57</v>
      </c>
      <c r="I133" s="115">
        <f>(G133/G$182)*100</f>
        <v>0</v>
      </c>
      <c r="J133" s="103">
        <v>0</v>
      </c>
      <c r="K133" s="103">
        <v>0</v>
      </c>
      <c r="L133" s="106" t="s">
        <v>57</v>
      </c>
      <c r="M133" s="103">
        <v>0</v>
      </c>
      <c r="N133" s="103">
        <v>0</v>
      </c>
      <c r="O133" s="106" t="s">
        <v>57</v>
      </c>
      <c r="P133" s="115">
        <f>(N133/N$182)*100</f>
        <v>0</v>
      </c>
      <c r="Q133" s="103">
        <v>0</v>
      </c>
      <c r="R133" s="103">
        <v>0</v>
      </c>
      <c r="S133" s="106" t="s">
        <v>57</v>
      </c>
      <c r="T133" s="103">
        <v>0</v>
      </c>
      <c r="U133" s="103">
        <v>0</v>
      </c>
      <c r="V133" s="106" t="s">
        <v>57</v>
      </c>
      <c r="W133" s="115">
        <f>(U133/U$182)*100</f>
        <v>0</v>
      </c>
      <c r="X133" s="15">
        <v>0</v>
      </c>
      <c r="Y133" s="15">
        <v>0</v>
      </c>
      <c r="Z133" s="106" t="s">
        <v>57</v>
      </c>
      <c r="AA133" s="15">
        <v>0</v>
      </c>
      <c r="AB133" s="15">
        <v>0</v>
      </c>
      <c r="AC133" s="106" t="s">
        <v>57</v>
      </c>
      <c r="AD133" s="115">
        <f>(AB133/AB$182)*100</f>
        <v>0</v>
      </c>
    </row>
    <row r="134" spans="1:30" s="29" customFormat="1">
      <c r="A134" s="5"/>
      <c r="B134" s="108" t="s">
        <v>6</v>
      </c>
      <c r="C134" s="15">
        <v>0</v>
      </c>
      <c r="D134" s="11">
        <v>0</v>
      </c>
      <c r="E134" s="106" t="s">
        <v>57</v>
      </c>
      <c r="F134" s="15">
        <v>0</v>
      </c>
      <c r="G134" s="11">
        <v>0</v>
      </c>
      <c r="H134" s="106" t="s">
        <v>57</v>
      </c>
      <c r="I134" s="115">
        <f>(G134/G$183)*100</f>
        <v>0</v>
      </c>
      <c r="J134" s="103">
        <v>0</v>
      </c>
      <c r="K134" s="103">
        <v>0</v>
      </c>
      <c r="L134" s="106" t="s">
        <v>57</v>
      </c>
      <c r="M134" s="103">
        <v>0</v>
      </c>
      <c r="N134" s="103">
        <v>0</v>
      </c>
      <c r="O134" s="106" t="s">
        <v>57</v>
      </c>
      <c r="P134" s="115">
        <f>(N134/N$183)*100</f>
        <v>0</v>
      </c>
      <c r="Q134" s="103">
        <v>0</v>
      </c>
      <c r="R134" s="103">
        <v>0</v>
      </c>
      <c r="S134" s="106" t="s">
        <v>57</v>
      </c>
      <c r="T134" s="103">
        <v>0</v>
      </c>
      <c r="U134" s="103">
        <v>0</v>
      </c>
      <c r="V134" s="106" t="s">
        <v>57</v>
      </c>
      <c r="W134" s="115">
        <f>(U134/U$183)*100</f>
        <v>0</v>
      </c>
      <c r="X134" s="15">
        <v>0</v>
      </c>
      <c r="Y134" s="15">
        <v>0</v>
      </c>
      <c r="Z134" s="106" t="s">
        <v>57</v>
      </c>
      <c r="AA134" s="15">
        <v>0</v>
      </c>
      <c r="AB134" s="15">
        <v>0</v>
      </c>
      <c r="AC134" s="106" t="s">
        <v>57</v>
      </c>
      <c r="AD134" s="115">
        <f>(AB134/AB$183)*100</f>
        <v>0</v>
      </c>
    </row>
    <row r="135" spans="1:30" s="29" customFormat="1">
      <c r="A135" s="5"/>
      <c r="B135" s="108" t="s">
        <v>25</v>
      </c>
      <c r="C135" s="15">
        <v>0</v>
      </c>
      <c r="D135" s="11">
        <v>0</v>
      </c>
      <c r="E135" s="106" t="s">
        <v>57</v>
      </c>
      <c r="F135" s="15">
        <v>0</v>
      </c>
      <c r="G135" s="11">
        <v>0</v>
      </c>
      <c r="H135" s="106" t="s">
        <v>57</v>
      </c>
      <c r="I135" s="115">
        <f>(G135/G$184)*100</f>
        <v>0</v>
      </c>
      <c r="J135" s="103">
        <v>0</v>
      </c>
      <c r="K135" s="103">
        <v>0</v>
      </c>
      <c r="L135" s="106" t="s">
        <v>57</v>
      </c>
      <c r="M135" s="103">
        <v>0</v>
      </c>
      <c r="N135" s="103">
        <v>0</v>
      </c>
      <c r="O135" s="106" t="s">
        <v>57</v>
      </c>
      <c r="P135" s="115">
        <f>(N135/N$184)*100</f>
        <v>0</v>
      </c>
      <c r="Q135" s="103">
        <v>0</v>
      </c>
      <c r="R135" s="103">
        <v>0</v>
      </c>
      <c r="S135" s="106" t="s">
        <v>57</v>
      </c>
      <c r="T135" s="103">
        <v>0</v>
      </c>
      <c r="U135" s="103">
        <v>0</v>
      </c>
      <c r="V135" s="106" t="s">
        <v>57</v>
      </c>
      <c r="W135" s="115">
        <f>(U135/U$184)*100</f>
        <v>0</v>
      </c>
      <c r="X135" s="15">
        <v>0</v>
      </c>
      <c r="Y135" s="15">
        <v>0</v>
      </c>
      <c r="Z135" s="106" t="s">
        <v>57</v>
      </c>
      <c r="AA135" s="15">
        <v>0</v>
      </c>
      <c r="AB135" s="15">
        <v>0</v>
      </c>
      <c r="AC135" s="106" t="s">
        <v>57</v>
      </c>
      <c r="AD135" s="115">
        <f>(AB135/AB$184)*100</f>
        <v>0</v>
      </c>
    </row>
    <row r="136" spans="1:30" s="29" customFormat="1">
      <c r="A136" s="5"/>
      <c r="B136" s="108"/>
      <c r="C136" s="15"/>
      <c r="D136" s="11"/>
      <c r="E136" s="114"/>
      <c r="F136" s="15"/>
      <c r="G136" s="11"/>
      <c r="H136" s="114"/>
      <c r="I136" s="115"/>
      <c r="J136" s="103"/>
      <c r="K136" s="103"/>
      <c r="L136" s="114"/>
      <c r="M136" s="103"/>
      <c r="N136" s="103"/>
      <c r="O136" s="114"/>
      <c r="P136" s="115"/>
      <c r="Q136" s="103"/>
      <c r="R136" s="103"/>
      <c r="S136" s="114"/>
      <c r="T136" s="103"/>
      <c r="U136" s="103"/>
      <c r="V136" s="114"/>
      <c r="W136" s="115"/>
      <c r="X136" s="15"/>
      <c r="Y136" s="15"/>
      <c r="Z136" s="114"/>
      <c r="AA136" s="15"/>
      <c r="AB136" s="15"/>
      <c r="AC136" s="114"/>
      <c r="AD136" s="115"/>
    </row>
    <row r="137" spans="1:30" s="30" customFormat="1" ht="15">
      <c r="A137" s="19">
        <v>20</v>
      </c>
      <c r="B137" s="107" t="s">
        <v>7</v>
      </c>
      <c r="C137" s="12">
        <f>C138+C139+C140+C141+C142</f>
        <v>2225.8622973360038</v>
      </c>
      <c r="D137" s="12">
        <f>D138+D139+D140+D141+D142</f>
        <v>2905.0221472700036</v>
      </c>
      <c r="E137" s="110">
        <f t="shared" ref="E137:E142" si="144">((D137-C137)/C137)*100</f>
        <v>30.512213210441814</v>
      </c>
      <c r="F137" s="12">
        <f>F138+F139+F140+F141+F142</f>
        <v>8999.0067313700019</v>
      </c>
      <c r="G137" s="12">
        <f>G138+G139+G140+G141+G142</f>
        <v>10287.360818212006</v>
      </c>
      <c r="H137" s="110">
        <f t="shared" ref="H137:H142" si="145">((G137-F137)/F137)*100</f>
        <v>14.316625437681676</v>
      </c>
      <c r="I137" s="111">
        <f>(G137/G$179)*100</f>
        <v>7.7945245074654572</v>
      </c>
      <c r="J137" s="22">
        <f>J138+J139+J140+J141+J142</f>
        <v>148546</v>
      </c>
      <c r="K137" s="22">
        <f>K138+K139+K140+K141+K142</f>
        <v>180716</v>
      </c>
      <c r="L137" s="110">
        <f t="shared" ref="L137:L142" si="146">((K137-J137)/J137)*100</f>
        <v>21.656591224267231</v>
      </c>
      <c r="M137" s="22">
        <f>M138+M139+M140+M141+M142</f>
        <v>598854</v>
      </c>
      <c r="N137" s="22">
        <f>N138+N139+N140+N141+N142</f>
        <v>769635</v>
      </c>
      <c r="O137" s="110">
        <f t="shared" ref="O137:O142" si="147">((N137-M137)/M137)*100</f>
        <v>28.517969321403879</v>
      </c>
      <c r="P137" s="111">
        <f>(N137/N$179)*100</f>
        <v>7.4030073157162093</v>
      </c>
      <c r="Q137" s="22">
        <f>Q138+Q139+Q140+Q141+Q142</f>
        <v>760555</v>
      </c>
      <c r="R137" s="22">
        <f>R138+R139+R140+R141+R142</f>
        <v>1553304</v>
      </c>
      <c r="S137" s="110">
        <f t="shared" ref="S137:S142" si="148">((R137-Q137)/Q137)*100</f>
        <v>104.23296145577901</v>
      </c>
      <c r="T137" s="22">
        <f>T138+T139+T140+T141+T142</f>
        <v>3963662</v>
      </c>
      <c r="U137" s="22">
        <f>U138+U139+U140+U141+U142</f>
        <v>3873575</v>
      </c>
      <c r="V137" s="110">
        <f t="shared" ref="V137:V142" si="149">((U137-T137)/T137)*100</f>
        <v>-2.2728224555978791</v>
      </c>
      <c r="W137" s="111">
        <f>(U137/U$179)*100</f>
        <v>4.8790522918852419</v>
      </c>
      <c r="X137" s="12">
        <f>X138+X139+X140+X141+X142</f>
        <v>37574.302359000001</v>
      </c>
      <c r="Y137" s="12">
        <f>Y138+Y139+Y140+Y141+Y142</f>
        <v>61195.622449000002</v>
      </c>
      <c r="Z137" s="110">
        <f t="shared" ref="Z137:Z142" si="150">((Y137-X137)/X137)*100</f>
        <v>62.865625193283449</v>
      </c>
      <c r="AA137" s="12">
        <f>AA138+AA139+AA140+AA141+AA142</f>
        <v>213805.967848</v>
      </c>
      <c r="AB137" s="12">
        <f>AB138+AB139+AB140+AB141+AB142</f>
        <v>222397.02374900001</v>
      </c>
      <c r="AC137" s="110">
        <f t="shared" ref="AC137:AC142" si="151">((AB137-AA137)/AA137)*100</f>
        <v>4.0181553337686111</v>
      </c>
      <c r="AD137" s="111">
        <f>(AB137/AB$179)*100</f>
        <v>8.7202575221904066</v>
      </c>
    </row>
    <row r="138" spans="1:30" s="29" customFormat="1">
      <c r="A138" s="9"/>
      <c r="B138" s="109" t="s">
        <v>3</v>
      </c>
      <c r="C138" s="15">
        <v>225.05395984100016</v>
      </c>
      <c r="D138" s="11">
        <v>471.59028470499919</v>
      </c>
      <c r="E138" s="114">
        <f t="shared" si="144"/>
        <v>109.54542858884868</v>
      </c>
      <c r="F138" s="15">
        <v>981.66682676900029</v>
      </c>
      <c r="G138" s="11">
        <v>1646.1917531099989</v>
      </c>
      <c r="H138" s="114">
        <f t="shared" si="145"/>
        <v>67.693529843335583</v>
      </c>
      <c r="I138" s="115">
        <f>(G138/G$180)*100</f>
        <v>9.4713010982628028</v>
      </c>
      <c r="J138" s="103">
        <v>4502</v>
      </c>
      <c r="K138" s="103">
        <v>8916</v>
      </c>
      <c r="L138" s="114">
        <f t="shared" si="146"/>
        <v>98.045313194135943</v>
      </c>
      <c r="M138" s="103">
        <v>18899</v>
      </c>
      <c r="N138" s="103">
        <v>44490</v>
      </c>
      <c r="O138" s="114">
        <f t="shared" si="147"/>
        <v>135.40928091433409</v>
      </c>
      <c r="P138" s="115">
        <f>(N138/N$180)*100</f>
        <v>8.7694745805474952</v>
      </c>
      <c r="Q138" s="103">
        <v>0</v>
      </c>
      <c r="R138" s="103">
        <v>0</v>
      </c>
      <c r="S138" s="106" t="s">
        <v>57</v>
      </c>
      <c r="T138" s="103">
        <v>0</v>
      </c>
      <c r="U138" s="103">
        <v>0</v>
      </c>
      <c r="V138" s="106" t="s">
        <v>57</v>
      </c>
      <c r="W138" s="106" t="s">
        <v>57</v>
      </c>
      <c r="X138" s="15">
        <v>206.34863799999999</v>
      </c>
      <c r="Y138" s="15">
        <v>428.56348800000001</v>
      </c>
      <c r="Z138" s="114">
        <f t="shared" si="150"/>
        <v>107.68903160872813</v>
      </c>
      <c r="AA138" s="15">
        <v>868.10345000000007</v>
      </c>
      <c r="AB138" s="15">
        <v>1695.3320000000001</v>
      </c>
      <c r="AC138" s="114">
        <f t="shared" si="151"/>
        <v>95.291471310245328</v>
      </c>
      <c r="AD138" s="115">
        <f>(AB138/AB$180)*100</f>
        <v>9.1478290287125805</v>
      </c>
    </row>
    <row r="139" spans="1:30" s="29" customFormat="1">
      <c r="A139" s="9"/>
      <c r="B139" s="109" t="s">
        <v>4</v>
      </c>
      <c r="C139" s="15">
        <v>815.58432325500382</v>
      </c>
      <c r="D139" s="11">
        <v>1262.5508175960035</v>
      </c>
      <c r="E139" s="114">
        <f t="shared" si="144"/>
        <v>54.803222866907589</v>
      </c>
      <c r="F139" s="15">
        <v>3225.4956206180041</v>
      </c>
      <c r="G139" s="11">
        <v>4827.7010285000069</v>
      </c>
      <c r="H139" s="114">
        <f t="shared" si="145"/>
        <v>49.673154030667099</v>
      </c>
      <c r="I139" s="115">
        <f>(G139/G$181)*100</f>
        <v>14.988483909748563</v>
      </c>
      <c r="J139" s="103">
        <v>143992</v>
      </c>
      <c r="K139" s="103">
        <v>171776</v>
      </c>
      <c r="L139" s="114">
        <f t="shared" si="146"/>
        <v>19.295516417578753</v>
      </c>
      <c r="M139" s="103">
        <v>579715</v>
      </c>
      <c r="N139" s="103">
        <v>725040</v>
      </c>
      <c r="O139" s="114">
        <f t="shared" si="147"/>
        <v>25.068352552547374</v>
      </c>
      <c r="P139" s="115">
        <f>(N139/N$181)*100</f>
        <v>7.3430457394859472</v>
      </c>
      <c r="Q139" s="103">
        <v>0</v>
      </c>
      <c r="R139" s="103">
        <v>0</v>
      </c>
      <c r="S139" s="106" t="s">
        <v>57</v>
      </c>
      <c r="T139" s="103">
        <v>0</v>
      </c>
      <c r="U139" s="103">
        <v>0</v>
      </c>
      <c r="V139" s="106" t="s">
        <v>57</v>
      </c>
      <c r="W139" s="106" t="s">
        <v>57</v>
      </c>
      <c r="X139" s="15">
        <v>11527.870829999998</v>
      </c>
      <c r="Y139" s="15">
        <v>14394.636820999998</v>
      </c>
      <c r="Z139" s="114">
        <f t="shared" si="150"/>
        <v>24.868130752641342</v>
      </c>
      <c r="AA139" s="15">
        <v>48224.426486999997</v>
      </c>
      <c r="AB139" s="15">
        <v>61222.535472999996</v>
      </c>
      <c r="AC139" s="114">
        <f t="shared" si="151"/>
        <v>26.953371834300484</v>
      </c>
      <c r="AD139" s="115">
        <f>(AB139/AB$181)*100</f>
        <v>7.5298473767370773</v>
      </c>
    </row>
    <row r="140" spans="1:30" s="29" customFormat="1">
      <c r="A140" s="9"/>
      <c r="B140" s="109" t="s">
        <v>5</v>
      </c>
      <c r="C140" s="15">
        <v>1161.4842401149995</v>
      </c>
      <c r="D140" s="11">
        <v>1117.3329703580007</v>
      </c>
      <c r="E140" s="114">
        <f t="shared" si="144"/>
        <v>-3.801280140712656</v>
      </c>
      <c r="F140" s="15">
        <v>4615.3373259409982</v>
      </c>
      <c r="G140" s="11">
        <v>3627.8633447430002</v>
      </c>
      <c r="H140" s="114">
        <f t="shared" si="145"/>
        <v>-21.395488811788351</v>
      </c>
      <c r="I140" s="115">
        <f>(G140/G$182)*100</f>
        <v>4.6771145749200196</v>
      </c>
      <c r="J140" s="103">
        <v>29</v>
      </c>
      <c r="K140" s="103">
        <v>19</v>
      </c>
      <c r="L140" s="114">
        <f t="shared" si="146"/>
        <v>-34.482758620689658</v>
      </c>
      <c r="M140" s="103">
        <v>60</v>
      </c>
      <c r="N140" s="103">
        <v>53</v>
      </c>
      <c r="O140" s="114">
        <f t="shared" si="147"/>
        <v>-11.666666666666666</v>
      </c>
      <c r="P140" s="115">
        <f>(N140/N$182)*100</f>
        <v>9.0443686006825939</v>
      </c>
      <c r="Q140" s="103">
        <v>37705</v>
      </c>
      <c r="R140" s="103">
        <v>31529</v>
      </c>
      <c r="S140" s="114">
        <f t="shared" si="148"/>
        <v>-16.379790478716348</v>
      </c>
      <c r="T140" s="103">
        <v>140238</v>
      </c>
      <c r="U140" s="103">
        <v>154023</v>
      </c>
      <c r="V140" s="114">
        <f t="shared" si="149"/>
        <v>9.8297180507423096</v>
      </c>
      <c r="W140" s="115">
        <f>(U140/U$182)*100</f>
        <v>0.33686319808436571</v>
      </c>
      <c r="X140" s="15">
        <v>4385.189797</v>
      </c>
      <c r="Y140" s="15">
        <v>5725.4672359999995</v>
      </c>
      <c r="Z140" s="114">
        <f t="shared" si="150"/>
        <v>30.563727023101972</v>
      </c>
      <c r="AA140" s="15">
        <v>18509.704840000002</v>
      </c>
      <c r="AB140" s="15">
        <v>24850.312802999997</v>
      </c>
      <c r="AC140" s="114">
        <f t="shared" si="151"/>
        <v>34.255586557478537</v>
      </c>
      <c r="AD140" s="115">
        <f>(AB140/AB$182)*100</f>
        <v>4.4726053910430563</v>
      </c>
    </row>
    <row r="141" spans="1:30" s="29" customFormat="1">
      <c r="A141" s="9"/>
      <c r="B141" s="109" t="s">
        <v>6</v>
      </c>
      <c r="C141" s="15">
        <v>0.54187412499999932</v>
      </c>
      <c r="D141" s="11">
        <v>0.67347461099999917</v>
      </c>
      <c r="E141" s="114">
        <f t="shared" si="144"/>
        <v>24.286172734304305</v>
      </c>
      <c r="F141" s="15">
        <v>9.7864580419999978</v>
      </c>
      <c r="G141" s="11">
        <v>13.141991858999999</v>
      </c>
      <c r="H141" s="114">
        <f t="shared" si="145"/>
        <v>34.287520598353801</v>
      </c>
      <c r="I141" s="115">
        <f>(G141/G$183)*100</f>
        <v>1.4081582979704612</v>
      </c>
      <c r="J141" s="103">
        <v>1</v>
      </c>
      <c r="K141" s="103">
        <v>0</v>
      </c>
      <c r="L141" s="114">
        <f t="shared" si="146"/>
        <v>-100</v>
      </c>
      <c r="M141" s="103">
        <v>2</v>
      </c>
      <c r="N141" s="103">
        <v>0</v>
      </c>
      <c r="O141" s="114">
        <f t="shared" si="147"/>
        <v>-100</v>
      </c>
      <c r="P141" s="115">
        <f>(N141/N$183)*100</f>
        <v>0</v>
      </c>
      <c r="Q141" s="103">
        <v>658</v>
      </c>
      <c r="R141" s="103">
        <v>669</v>
      </c>
      <c r="S141" s="114">
        <f t="shared" si="148"/>
        <v>1.6717325227963524</v>
      </c>
      <c r="T141" s="103">
        <v>17696</v>
      </c>
      <c r="U141" s="103">
        <v>21817</v>
      </c>
      <c r="V141" s="114">
        <f t="shared" si="149"/>
        <v>23.287748643761301</v>
      </c>
      <c r="W141" s="115">
        <f>(U141/U$183)*100</f>
        <v>1.0816114160894719</v>
      </c>
      <c r="X141" s="15">
        <v>-0.21270600000000001</v>
      </c>
      <c r="Y141" s="15">
        <v>0.103604</v>
      </c>
      <c r="Z141" s="114">
        <f t="shared" si="150"/>
        <v>-148.70760580331537</v>
      </c>
      <c r="AA141" s="15">
        <v>-2.9024290000000001</v>
      </c>
      <c r="AB141" s="15">
        <v>1.7296730000000002</v>
      </c>
      <c r="AC141" s="114">
        <f t="shared" si="151"/>
        <v>-159.59398145484352</v>
      </c>
      <c r="AD141" s="115">
        <f>(AB141/AB$183)*100</f>
        <v>1.190317426564715E-3</v>
      </c>
    </row>
    <row r="142" spans="1:30" s="29" customFormat="1">
      <c r="A142" s="9"/>
      <c r="B142" s="108" t="s">
        <v>25</v>
      </c>
      <c r="C142" s="15">
        <v>23.197900000000001</v>
      </c>
      <c r="D142" s="11">
        <v>52.874600000000001</v>
      </c>
      <c r="E142" s="114">
        <f t="shared" si="144"/>
        <v>127.92839006979079</v>
      </c>
      <c r="F142" s="15">
        <v>166.72049999999999</v>
      </c>
      <c r="G142" s="11">
        <v>172.46270000000001</v>
      </c>
      <c r="H142" s="114">
        <f t="shared" si="145"/>
        <v>3.4442075209707421</v>
      </c>
      <c r="I142" s="115">
        <f>(G142/G$184)*100</f>
        <v>4.4310936009932664</v>
      </c>
      <c r="J142" s="103">
        <v>22</v>
      </c>
      <c r="K142" s="103">
        <v>5</v>
      </c>
      <c r="L142" s="114">
        <f t="shared" si="146"/>
        <v>-77.272727272727266</v>
      </c>
      <c r="M142" s="103">
        <v>178</v>
      </c>
      <c r="N142" s="103">
        <v>52</v>
      </c>
      <c r="O142" s="114">
        <f t="shared" si="147"/>
        <v>-70.786516853932582</v>
      </c>
      <c r="P142" s="115">
        <f>(N142/N$184)*100</f>
        <v>0.4686373467916366</v>
      </c>
      <c r="Q142" s="103">
        <v>722192</v>
      </c>
      <c r="R142" s="103">
        <v>1521106</v>
      </c>
      <c r="S142" s="114">
        <f t="shared" si="148"/>
        <v>110.62349070607263</v>
      </c>
      <c r="T142" s="103">
        <v>3805728</v>
      </c>
      <c r="U142" s="103">
        <v>3697735</v>
      </c>
      <c r="V142" s="114">
        <f t="shared" si="149"/>
        <v>-2.8376436781609193</v>
      </c>
      <c r="W142" s="115">
        <f>(U142/U$184)*100</f>
        <v>11.682410775354109</v>
      </c>
      <c r="X142" s="15">
        <v>21455.105800000001</v>
      </c>
      <c r="Y142" s="15">
        <v>40646.851300000002</v>
      </c>
      <c r="Z142" s="114">
        <f t="shared" si="150"/>
        <v>89.450714803746152</v>
      </c>
      <c r="AA142" s="15">
        <v>146206.63549999997</v>
      </c>
      <c r="AB142" s="15">
        <v>134627.11380000002</v>
      </c>
      <c r="AC142" s="114">
        <f t="shared" si="151"/>
        <v>-7.9199700207860646</v>
      </c>
      <c r="AD142" s="115">
        <f>(AB142/AB$184)*100</f>
        <v>13.226896772315305</v>
      </c>
    </row>
    <row r="143" spans="1:30" s="29" customFormat="1">
      <c r="A143" s="9"/>
      <c r="B143" s="108"/>
      <c r="C143" s="15"/>
      <c r="D143" s="11"/>
      <c r="E143" s="114"/>
      <c r="F143" s="15"/>
      <c r="G143" s="11"/>
      <c r="H143" s="114"/>
      <c r="I143" s="115"/>
      <c r="J143" s="103"/>
      <c r="K143" s="103"/>
      <c r="L143" s="114"/>
      <c r="M143" s="103"/>
      <c r="N143" s="103"/>
      <c r="O143" s="114"/>
      <c r="P143" s="115"/>
      <c r="Q143" s="103"/>
      <c r="R143" s="103"/>
      <c r="S143" s="114"/>
      <c r="T143" s="103"/>
      <c r="U143" s="103"/>
      <c r="V143" s="114"/>
      <c r="W143" s="115"/>
      <c r="X143" s="15"/>
      <c r="Y143" s="15"/>
      <c r="Z143" s="114"/>
      <c r="AA143" s="15"/>
      <c r="AB143" s="15"/>
      <c r="AC143" s="114"/>
      <c r="AD143" s="115"/>
    </row>
    <row r="144" spans="1:30" s="30" customFormat="1" ht="15">
      <c r="A144" s="19">
        <v>21</v>
      </c>
      <c r="B144" s="107" t="s">
        <v>13</v>
      </c>
      <c r="C144" s="12">
        <f>C145+C146+C147+C148+C149</f>
        <v>74.241009614211563</v>
      </c>
      <c r="D144" s="12">
        <f>D145+D146+D147+D148+D149</f>
        <v>96.928030569000612</v>
      </c>
      <c r="E144" s="110">
        <f t="shared" ref="E144:E149" si="152">((D144-C144)/C144)*100</f>
        <v>30.558610493958305</v>
      </c>
      <c r="F144" s="12">
        <f>F145+F146+F147+F148+F149</f>
        <v>248.57240949400003</v>
      </c>
      <c r="G144" s="12">
        <f>G145+G146+G147+G148+G149</f>
        <v>377.00241354199989</v>
      </c>
      <c r="H144" s="110">
        <f t="shared" ref="H144:H149" si="153">((G144-F144)/F144)*100</f>
        <v>51.667039117267713</v>
      </c>
      <c r="I144" s="111">
        <f>(G144/G$179)*100</f>
        <v>0.28564707738495365</v>
      </c>
      <c r="J144" s="22">
        <f>J145+J146+J147+J148+J149</f>
        <v>27710</v>
      </c>
      <c r="K144" s="22">
        <f>K145+K146+K147+K148+K149</f>
        <v>25840</v>
      </c>
      <c r="L144" s="110">
        <f t="shared" ref="L144:L149" si="154">((K144-J144)/J144)*100</f>
        <v>-6.7484662576687118</v>
      </c>
      <c r="M144" s="22">
        <f>M145+M146+M147+M148+M149</f>
        <v>99471</v>
      </c>
      <c r="N144" s="22">
        <f>N145+N146+N147+N148+N149</f>
        <v>108379</v>
      </c>
      <c r="O144" s="110">
        <f t="shared" ref="O144:O149" si="155">((N144-M144)/M144)*100</f>
        <v>8.9553739280795401</v>
      </c>
      <c r="P144" s="111">
        <f>(N144/N$179)*100</f>
        <v>1.042481864611156</v>
      </c>
      <c r="Q144" s="22">
        <f>Q145+Q146+Q147+Q148+Q149</f>
        <v>621320</v>
      </c>
      <c r="R144" s="22">
        <f>R145+R146+R147+R148+R149</f>
        <v>490190</v>
      </c>
      <c r="S144" s="110">
        <f t="shared" ref="S144:S149" si="156">((R144-Q144)/Q144)*100</f>
        <v>-21.105066632331166</v>
      </c>
      <c r="T144" s="22">
        <f>T145+T146+T147+T148+T149</f>
        <v>1001599</v>
      </c>
      <c r="U144" s="22">
        <f>U145+U146+U147+U148+U149</f>
        <v>1606772</v>
      </c>
      <c r="V144" s="110">
        <f t="shared" ref="V144:V149" si="157">((U144-T144)/T144)*100</f>
        <v>60.420687320973762</v>
      </c>
      <c r="W144" s="111">
        <f>(U144/U$179)*100</f>
        <v>2.0238473784906796</v>
      </c>
      <c r="X144" s="12">
        <f>X145+X146+X147+X148+X149</f>
        <v>4346.7433930000016</v>
      </c>
      <c r="Y144" s="12">
        <f>Y145+Y146+Y147+Y148+Y149</f>
        <v>5324.7990947999997</v>
      </c>
      <c r="Z144" s="110">
        <f t="shared" ref="Z144:Z149" si="158">((Y144-X144)/X144)*100</f>
        <v>22.500884302833697</v>
      </c>
      <c r="AA144" s="12">
        <f>AA145+AA146+AA147+AA148+AA149</f>
        <v>11127.003354999999</v>
      </c>
      <c r="AB144" s="12">
        <f>AB145+AB146+AB147+AB148+AB149</f>
        <v>31146.240287299999</v>
      </c>
      <c r="AC144" s="110">
        <f t="shared" ref="AC144:AC149" si="159">((AB144-AA144)/AA144)*100</f>
        <v>179.91579847330786</v>
      </c>
      <c r="AD144" s="111">
        <f>(AB144/AB$179)*100</f>
        <v>1.2212539159688234</v>
      </c>
    </row>
    <row r="145" spans="1:30" s="29" customFormat="1">
      <c r="A145" s="9"/>
      <c r="B145" s="109" t="s">
        <v>3</v>
      </c>
      <c r="C145" s="15">
        <v>3.6688999999999998</v>
      </c>
      <c r="D145" s="11">
        <v>6.9832841829999985</v>
      </c>
      <c r="E145" s="114">
        <f t="shared" si="152"/>
        <v>90.337272288696852</v>
      </c>
      <c r="F145" s="15">
        <v>18.916399999999999</v>
      </c>
      <c r="G145" s="11">
        <v>32.860199999999999</v>
      </c>
      <c r="H145" s="114">
        <f t="shared" si="153"/>
        <v>73.712757184242236</v>
      </c>
      <c r="I145" s="115">
        <f>(G145/G$180)*100</f>
        <v>0.18905990007613591</v>
      </c>
      <c r="J145" s="103">
        <v>125</v>
      </c>
      <c r="K145" s="103">
        <v>1002</v>
      </c>
      <c r="L145" s="114">
        <f t="shared" si="154"/>
        <v>701.6</v>
      </c>
      <c r="M145" s="103">
        <v>671</v>
      </c>
      <c r="N145" s="103">
        <v>3729</v>
      </c>
      <c r="O145" s="114">
        <f t="shared" si="155"/>
        <v>455.73770491803282</v>
      </c>
      <c r="P145" s="115">
        <f>(N145/N$180)*100</f>
        <v>0.73502743787056901</v>
      </c>
      <c r="Q145" s="103">
        <v>0</v>
      </c>
      <c r="R145" s="103">
        <v>0</v>
      </c>
      <c r="S145" s="106" t="s">
        <v>57</v>
      </c>
      <c r="T145" s="103">
        <v>0</v>
      </c>
      <c r="U145" s="103">
        <v>0</v>
      </c>
      <c r="V145" s="106" t="s">
        <v>57</v>
      </c>
      <c r="W145" s="106" t="s">
        <v>57</v>
      </c>
      <c r="X145" s="15">
        <v>3.7396980000000006</v>
      </c>
      <c r="Y145" s="15">
        <v>29.858000000000008</v>
      </c>
      <c r="Z145" s="114">
        <f t="shared" si="158"/>
        <v>698.40671626425456</v>
      </c>
      <c r="AA145" s="15">
        <v>22.584099999999999</v>
      </c>
      <c r="AB145" s="15">
        <v>110.08910000000002</v>
      </c>
      <c r="AC145" s="114">
        <f t="shared" si="159"/>
        <v>387.46286103940395</v>
      </c>
      <c r="AD145" s="115">
        <f>(AB145/AB$180)*100</f>
        <v>0.59402893635278653</v>
      </c>
    </row>
    <row r="146" spans="1:30" s="29" customFormat="1">
      <c r="A146" s="9"/>
      <c r="B146" s="109" t="s">
        <v>4</v>
      </c>
      <c r="C146" s="15">
        <v>50.53475220221155</v>
      </c>
      <c r="D146" s="11">
        <v>53.894547757000602</v>
      </c>
      <c r="E146" s="114">
        <f t="shared" si="152"/>
        <v>6.6484852668220213</v>
      </c>
      <c r="F146" s="15">
        <v>185.607</v>
      </c>
      <c r="G146" s="11">
        <v>205.77969999999996</v>
      </c>
      <c r="H146" s="114">
        <f t="shared" si="153"/>
        <v>10.86850172676675</v>
      </c>
      <c r="I146" s="115">
        <f>(G146/G$181)*100</f>
        <v>0.63888084705220505</v>
      </c>
      <c r="J146" s="103">
        <v>27578</v>
      </c>
      <c r="K146" s="103">
        <v>24838</v>
      </c>
      <c r="L146" s="114">
        <f t="shared" si="154"/>
        <v>-9.9354557980999338</v>
      </c>
      <c r="M146" s="103">
        <v>98791</v>
      </c>
      <c r="N146" s="103">
        <v>104583</v>
      </c>
      <c r="O146" s="114">
        <f t="shared" si="155"/>
        <v>5.862882246358474</v>
      </c>
      <c r="P146" s="115">
        <f>(N146/N$181)*100</f>
        <v>1.0591936342445365</v>
      </c>
      <c r="Q146" s="103">
        <v>0</v>
      </c>
      <c r="R146" s="103">
        <v>0</v>
      </c>
      <c r="S146" s="106" t="s">
        <v>57</v>
      </c>
      <c r="T146" s="103">
        <v>0</v>
      </c>
      <c r="U146" s="103">
        <v>0</v>
      </c>
      <c r="V146" s="106" t="s">
        <v>57</v>
      </c>
      <c r="W146" s="106" t="s">
        <v>57</v>
      </c>
      <c r="X146" s="15">
        <v>1219.4694221000013</v>
      </c>
      <c r="Y146" s="15">
        <v>1195.6385</v>
      </c>
      <c r="Z146" s="114">
        <f t="shared" si="158"/>
        <v>-1.9542041537181805</v>
      </c>
      <c r="AA146" s="15">
        <v>4173.38</v>
      </c>
      <c r="AB146" s="15">
        <v>4644.5859999999993</v>
      </c>
      <c r="AC146" s="114">
        <f t="shared" si="159"/>
        <v>11.290752339830048</v>
      </c>
      <c r="AD146" s="115">
        <f>(AB146/AB$181)*100</f>
        <v>0.57124428836426333</v>
      </c>
    </row>
    <row r="147" spans="1:30" s="29" customFormat="1" ht="14.25" customHeight="1">
      <c r="A147" s="9"/>
      <c r="B147" s="109" t="s">
        <v>5</v>
      </c>
      <c r="C147" s="15">
        <v>17.79893997400001</v>
      </c>
      <c r="D147" s="11">
        <v>28.058060161000004</v>
      </c>
      <c r="E147" s="114">
        <f t="shared" si="152"/>
        <v>57.638939183940799</v>
      </c>
      <c r="F147" s="15">
        <v>39.222688956000013</v>
      </c>
      <c r="G147" s="11">
        <v>84.708768402999993</v>
      </c>
      <c r="H147" s="114">
        <f t="shared" si="153"/>
        <v>115.96879423036557</v>
      </c>
      <c r="I147" s="115">
        <f>(G147/G$182)*100</f>
        <v>0.10920825226101846</v>
      </c>
      <c r="J147" s="103">
        <v>1</v>
      </c>
      <c r="K147" s="103">
        <v>0</v>
      </c>
      <c r="L147" s="114">
        <f t="shared" si="154"/>
        <v>-100</v>
      </c>
      <c r="M147" s="103">
        <v>1</v>
      </c>
      <c r="N147" s="103">
        <v>1</v>
      </c>
      <c r="O147" s="114">
        <f t="shared" si="155"/>
        <v>0</v>
      </c>
      <c r="P147" s="115">
        <f>(N147/N$182)*100</f>
        <v>0.17064846416382254</v>
      </c>
      <c r="Q147" s="103">
        <v>541198</v>
      </c>
      <c r="R147" s="103">
        <v>246806</v>
      </c>
      <c r="S147" s="114">
        <f t="shared" si="156"/>
        <v>-54.396357710117179</v>
      </c>
      <c r="T147" s="103">
        <v>872310</v>
      </c>
      <c r="U147" s="103">
        <v>856305</v>
      </c>
      <c r="V147" s="114">
        <f t="shared" si="157"/>
        <v>-1.8347835058637412</v>
      </c>
      <c r="W147" s="115">
        <f>(U147/U$182)*100</f>
        <v>1.8728218567073283</v>
      </c>
      <c r="X147" s="15">
        <v>2407.0658958999998</v>
      </c>
      <c r="Y147" s="15">
        <v>2339.6927086000001</v>
      </c>
      <c r="Z147" s="114">
        <f t="shared" si="158"/>
        <v>-2.7989756082190231</v>
      </c>
      <c r="AA147" s="15">
        <v>4432.4343656000001</v>
      </c>
      <c r="AB147" s="15">
        <v>8442.4590420000004</v>
      </c>
      <c r="AC147" s="114">
        <f t="shared" si="159"/>
        <v>90.47002946104945</v>
      </c>
      <c r="AD147" s="115">
        <f>(AB147/AB$182)*100</f>
        <v>1.5194894375877206</v>
      </c>
    </row>
    <row r="148" spans="1:30" s="27" customFormat="1">
      <c r="A148" s="9"/>
      <c r="B148" s="109" t="s">
        <v>6</v>
      </c>
      <c r="C148" s="15">
        <v>0</v>
      </c>
      <c r="D148" s="11">
        <v>0</v>
      </c>
      <c r="E148" s="106" t="s">
        <v>57</v>
      </c>
      <c r="F148" s="15">
        <v>0</v>
      </c>
      <c r="G148" s="11">
        <v>0</v>
      </c>
      <c r="H148" s="106" t="s">
        <v>57</v>
      </c>
      <c r="I148" s="115">
        <f>(G148/G$183)*100</f>
        <v>0</v>
      </c>
      <c r="J148" s="103">
        <v>0</v>
      </c>
      <c r="K148" s="103">
        <v>0</v>
      </c>
      <c r="L148" s="106" t="s">
        <v>57</v>
      </c>
      <c r="M148" s="103">
        <v>0</v>
      </c>
      <c r="N148" s="103">
        <v>0</v>
      </c>
      <c r="O148" s="106" t="s">
        <v>57</v>
      </c>
      <c r="P148" s="115">
        <f>(N148/N$183)*100</f>
        <v>0</v>
      </c>
      <c r="Q148" s="103">
        <v>0</v>
      </c>
      <c r="R148" s="103">
        <v>0</v>
      </c>
      <c r="S148" s="106" t="s">
        <v>57</v>
      </c>
      <c r="T148" s="103">
        <v>0</v>
      </c>
      <c r="U148" s="103">
        <v>0</v>
      </c>
      <c r="V148" s="106" t="s">
        <v>57</v>
      </c>
      <c r="W148" s="115">
        <f>(U148/U$183)*100</f>
        <v>0</v>
      </c>
      <c r="X148" s="15">
        <v>0</v>
      </c>
      <c r="Y148" s="15">
        <v>0</v>
      </c>
      <c r="Z148" s="106" t="s">
        <v>57</v>
      </c>
      <c r="AA148" s="15">
        <v>0</v>
      </c>
      <c r="AB148" s="15">
        <v>0</v>
      </c>
      <c r="AC148" s="106" t="s">
        <v>57</v>
      </c>
      <c r="AD148" s="115">
        <f>(AB148/AB$183)*100</f>
        <v>0</v>
      </c>
    </row>
    <row r="149" spans="1:30" s="27" customFormat="1">
      <c r="A149" s="9"/>
      <c r="B149" s="108" t="s">
        <v>25</v>
      </c>
      <c r="C149" s="15">
        <v>2.2384174379999999</v>
      </c>
      <c r="D149" s="11">
        <v>7.9921384680000029</v>
      </c>
      <c r="E149" s="114">
        <f t="shared" si="152"/>
        <v>257.04414790213957</v>
      </c>
      <c r="F149" s="15">
        <v>4.826320538</v>
      </c>
      <c r="G149" s="11">
        <v>53.653745138999994</v>
      </c>
      <c r="H149" s="114">
        <f t="shared" si="153"/>
        <v>1011.6904630879285</v>
      </c>
      <c r="I149" s="115">
        <f>(G149/G$184)*100</f>
        <v>1.3785286137509529</v>
      </c>
      <c r="J149" s="103">
        <v>6</v>
      </c>
      <c r="K149" s="103">
        <v>0</v>
      </c>
      <c r="L149" s="114">
        <f t="shared" si="154"/>
        <v>-100</v>
      </c>
      <c r="M149" s="103">
        <v>8</v>
      </c>
      <c r="N149" s="103">
        <v>66</v>
      </c>
      <c r="O149" s="114">
        <f t="shared" si="155"/>
        <v>725</v>
      </c>
      <c r="P149" s="115">
        <f>(N149/N$184)*100</f>
        <v>0.59480894015861563</v>
      </c>
      <c r="Q149" s="103">
        <v>80122</v>
      </c>
      <c r="R149" s="103">
        <v>243384</v>
      </c>
      <c r="S149" s="114">
        <f t="shared" si="156"/>
        <v>203.76675569756122</v>
      </c>
      <c r="T149" s="103">
        <v>129289</v>
      </c>
      <c r="U149" s="103">
        <v>750467</v>
      </c>
      <c r="V149" s="114">
        <f t="shared" si="157"/>
        <v>480.45696076232315</v>
      </c>
      <c r="W149" s="115">
        <f>(U149/U$184)*100</f>
        <v>2.3709821735055847</v>
      </c>
      <c r="X149" s="15">
        <v>716.46837700000003</v>
      </c>
      <c r="Y149" s="15">
        <v>1759.6098861999999</v>
      </c>
      <c r="Z149" s="114">
        <f t="shared" si="158"/>
        <v>145.59491286521913</v>
      </c>
      <c r="AA149" s="15">
        <v>2498.6048894</v>
      </c>
      <c r="AB149" s="15">
        <v>17949.1061453</v>
      </c>
      <c r="AC149" s="114">
        <f t="shared" si="159"/>
        <v>618.36512533240864</v>
      </c>
      <c r="AD149" s="115">
        <f>(AB149/AB$184)*100</f>
        <v>1.7634707262008713</v>
      </c>
    </row>
    <row r="150" spans="1:30" s="27" customFormat="1">
      <c r="A150" s="9"/>
      <c r="B150" s="108"/>
      <c r="C150" s="15"/>
      <c r="D150" s="11"/>
      <c r="E150" s="114"/>
      <c r="F150" s="15"/>
      <c r="G150" s="11"/>
      <c r="H150" s="114"/>
      <c r="I150" s="115"/>
      <c r="J150" s="103"/>
      <c r="K150" s="103"/>
      <c r="L150" s="114"/>
      <c r="M150" s="103"/>
      <c r="N150" s="103"/>
      <c r="O150" s="114"/>
      <c r="P150" s="115"/>
      <c r="Q150" s="103"/>
      <c r="R150" s="103"/>
      <c r="S150" s="114"/>
      <c r="T150" s="103"/>
      <c r="U150" s="103"/>
      <c r="V150" s="114"/>
      <c r="W150" s="115"/>
      <c r="X150" s="15"/>
      <c r="Y150" s="15"/>
      <c r="Z150" s="114"/>
      <c r="AA150" s="15"/>
      <c r="AB150" s="15"/>
      <c r="AC150" s="114"/>
      <c r="AD150" s="115"/>
    </row>
    <row r="151" spans="1:30" s="26" customFormat="1" ht="15">
      <c r="A151" s="19">
        <v>22</v>
      </c>
      <c r="B151" s="107" t="s">
        <v>60</v>
      </c>
      <c r="C151" s="12">
        <f>C152+C153+C154+C155+C156</f>
        <v>126.93249512799999</v>
      </c>
      <c r="D151" s="12">
        <f>D152+D153+D154+D155+D156</f>
        <v>180.33451983400005</v>
      </c>
      <c r="E151" s="110">
        <f t="shared" ref="E151:E156" si="160">((D151-C151)/C151)*100</f>
        <v>42.071200642632078</v>
      </c>
      <c r="F151" s="12">
        <f>F152+F153+F154+F155+F156</f>
        <v>383.94375831200006</v>
      </c>
      <c r="G151" s="12">
        <f>G152+G153+G154+G155+G156</f>
        <v>792.95433815499996</v>
      </c>
      <c r="H151" s="110">
        <f t="shared" ref="H151:H156" si="161">((G151-F151)/F151)*100</f>
        <v>106.52877432913756</v>
      </c>
      <c r="I151" s="111">
        <f>(G151/G$179)*100</f>
        <v>0.60080540881858902</v>
      </c>
      <c r="J151" s="22">
        <f>J152+J153+J154+J155+J156</f>
        <v>12398</v>
      </c>
      <c r="K151" s="22">
        <f>K152+K153+K154+K155+K156</f>
        <v>15671</v>
      </c>
      <c r="L151" s="110">
        <f t="shared" ref="L151:L156" si="162">((K151-J151)/J151)*100</f>
        <v>26.399419261171158</v>
      </c>
      <c r="M151" s="22">
        <f>M152+M153+M154+M155+M156</f>
        <v>33219</v>
      </c>
      <c r="N151" s="22">
        <f>N152+N153+N154+N155+N156</f>
        <v>52150</v>
      </c>
      <c r="O151" s="110">
        <f t="shared" ref="O151:O156" si="163">((N151-M151)/M151)*100</f>
        <v>56.988470453656035</v>
      </c>
      <c r="P151" s="111">
        <f>(N151/N$179)*100</f>
        <v>0.50162327793642469</v>
      </c>
      <c r="Q151" s="22">
        <f>Q152+Q153+Q154+Q155+Q156</f>
        <v>171259</v>
      </c>
      <c r="R151" s="22">
        <f>R152+R153+R154+R155+R156</f>
        <v>616942</v>
      </c>
      <c r="S151" s="110">
        <f t="shared" ref="S151:S156" si="164">((R151-Q151)/Q151)*100</f>
        <v>260.2391699122382</v>
      </c>
      <c r="T151" s="22">
        <f>T152+T153+T154+T155+T156</f>
        <v>1942719</v>
      </c>
      <c r="U151" s="22">
        <f>U152+U153+U154+U155+U156</f>
        <v>1687837</v>
      </c>
      <c r="V151" s="110">
        <f t="shared" ref="V151:V156" si="165">((U151-T151)/T151)*100</f>
        <v>-13.119859331174503</v>
      </c>
      <c r="W151" s="111">
        <f>(U151/U$179)*100</f>
        <v>2.1259547015815397</v>
      </c>
      <c r="X151" s="12">
        <f>X152+X153+X154+X155+X156</f>
        <v>5657.2558628999996</v>
      </c>
      <c r="Y151" s="12">
        <f>Y152+Y153+Y154+Y155+Y156</f>
        <v>14896.055996799998</v>
      </c>
      <c r="Z151" s="110">
        <f t="shared" ref="Z151:Z156" si="166">((Y151-X151)/X151)*100</f>
        <v>163.30886135957871</v>
      </c>
      <c r="AA151" s="12">
        <f>AA152+AA153+AA154+AA155+AA156</f>
        <v>45152.202495799997</v>
      </c>
      <c r="AB151" s="12">
        <f>AB152+AB153+AB154+AB155+AB156</f>
        <v>53980.729612399999</v>
      </c>
      <c r="AC151" s="110">
        <f t="shared" ref="AC151:AC156" si="167">((AB151-AA151)/AA151)*100</f>
        <v>19.552816094455682</v>
      </c>
      <c r="AD151" s="111">
        <f>(AB151/AB$179)*100</f>
        <v>2.1166014523068637</v>
      </c>
    </row>
    <row r="152" spans="1:30" s="27" customFormat="1">
      <c r="A152" s="9"/>
      <c r="B152" s="109" t="s">
        <v>3</v>
      </c>
      <c r="C152" s="15">
        <v>22.733534300000002</v>
      </c>
      <c r="D152" s="11">
        <v>20.240952900000003</v>
      </c>
      <c r="E152" s="114">
        <f t="shared" si="160"/>
        <v>-10.96433738417875</v>
      </c>
      <c r="F152" s="15">
        <v>64.248966760000002</v>
      </c>
      <c r="G152" s="11">
        <v>71.401898700000004</v>
      </c>
      <c r="H152" s="114">
        <f t="shared" si="161"/>
        <v>11.133147038332234</v>
      </c>
      <c r="I152" s="115">
        <f>(G152/G$180)*100</f>
        <v>0.41080808496200205</v>
      </c>
      <c r="J152" s="103">
        <v>441</v>
      </c>
      <c r="K152" s="103">
        <v>338</v>
      </c>
      <c r="L152" s="114">
        <f t="shared" si="162"/>
        <v>-23.356009070294785</v>
      </c>
      <c r="M152" s="103">
        <v>1343</v>
      </c>
      <c r="N152" s="103">
        <v>1363</v>
      </c>
      <c r="O152" s="114">
        <f t="shared" si="163"/>
        <v>1.4892032762472078</v>
      </c>
      <c r="P152" s="115">
        <f>(N152/N$180)*100</f>
        <v>0.26866248265421971</v>
      </c>
      <c r="Q152" s="103">
        <v>0</v>
      </c>
      <c r="R152" s="103">
        <v>0</v>
      </c>
      <c r="S152" s="106" t="s">
        <v>57</v>
      </c>
      <c r="T152" s="103">
        <v>0</v>
      </c>
      <c r="U152" s="103">
        <v>0</v>
      </c>
      <c r="V152" s="106" t="s">
        <v>57</v>
      </c>
      <c r="W152" s="106" t="s">
        <v>57</v>
      </c>
      <c r="X152" s="15">
        <v>86.6140726</v>
      </c>
      <c r="Y152" s="15">
        <v>37.157325999999998</v>
      </c>
      <c r="Z152" s="114">
        <f t="shared" si="166"/>
        <v>-57.100128322565446</v>
      </c>
      <c r="AA152" s="15">
        <v>195.9416621</v>
      </c>
      <c r="AB152" s="15">
        <v>200.71048099999999</v>
      </c>
      <c r="AC152" s="114">
        <f t="shared" si="167"/>
        <v>2.4337952678824322</v>
      </c>
      <c r="AD152" s="115">
        <f>(AB152/AB$180)*100</f>
        <v>1.0830121560016945</v>
      </c>
    </row>
    <row r="153" spans="1:30" s="27" customFormat="1">
      <c r="A153" s="9"/>
      <c r="B153" s="109" t="s">
        <v>4</v>
      </c>
      <c r="C153" s="15">
        <v>83.321364869999982</v>
      </c>
      <c r="D153" s="11">
        <v>118.65910520000001</v>
      </c>
      <c r="E153" s="114">
        <f t="shared" si="160"/>
        <v>42.411379584497723</v>
      </c>
      <c r="F153" s="15">
        <v>214.77436971</v>
      </c>
      <c r="G153" s="11">
        <v>383.08030558999997</v>
      </c>
      <c r="H153" s="114">
        <f t="shared" si="161"/>
        <v>78.364069282221976</v>
      </c>
      <c r="I153" s="115">
        <f>(G153/G$181)*100</f>
        <v>1.1893431185114798</v>
      </c>
      <c r="J153" s="103">
        <v>11953</v>
      </c>
      <c r="K153" s="103">
        <v>15325</v>
      </c>
      <c r="L153" s="114">
        <f t="shared" si="162"/>
        <v>28.210491090102902</v>
      </c>
      <c r="M153" s="103">
        <v>31868</v>
      </c>
      <c r="N153" s="103">
        <v>50756</v>
      </c>
      <c r="O153" s="114">
        <f t="shared" si="163"/>
        <v>59.269486632358479</v>
      </c>
      <c r="P153" s="115">
        <f>(N153/N$181)*100</f>
        <v>0.51404561066058252</v>
      </c>
      <c r="Q153" s="103">
        <v>0</v>
      </c>
      <c r="R153" s="103">
        <v>0</v>
      </c>
      <c r="S153" s="106" t="s">
        <v>57</v>
      </c>
      <c r="T153" s="103">
        <v>0</v>
      </c>
      <c r="U153" s="103">
        <v>0</v>
      </c>
      <c r="V153" s="106" t="s">
        <v>57</v>
      </c>
      <c r="W153" s="106" t="s">
        <v>57</v>
      </c>
      <c r="X153" s="15">
        <v>998.6761242</v>
      </c>
      <c r="Y153" s="15">
        <v>1333.8957622000003</v>
      </c>
      <c r="Z153" s="114">
        <f t="shared" si="166"/>
        <v>33.566401546700789</v>
      </c>
      <c r="AA153" s="15">
        <v>2897.8525643000003</v>
      </c>
      <c r="AB153" s="15">
        <v>4823.580927</v>
      </c>
      <c r="AC153" s="114">
        <f t="shared" si="167"/>
        <v>66.453634888950091</v>
      </c>
      <c r="AD153" s="115">
        <f>(AB153/AB$181)*100</f>
        <v>0.59325913095624638</v>
      </c>
    </row>
    <row r="154" spans="1:30">
      <c r="A154" s="9"/>
      <c r="B154" s="109" t="s">
        <v>5</v>
      </c>
      <c r="C154" s="15">
        <v>15.414611299999999</v>
      </c>
      <c r="D154" s="11">
        <v>22.831451000000001</v>
      </c>
      <c r="E154" s="114">
        <f t="shared" si="160"/>
        <v>48.115645316336995</v>
      </c>
      <c r="F154" s="15">
        <v>41.422311651999998</v>
      </c>
      <c r="G154" s="11">
        <v>86.385824600000021</v>
      </c>
      <c r="H154" s="114">
        <f t="shared" si="161"/>
        <v>108.54901900635245</v>
      </c>
      <c r="I154" s="115">
        <f>(G154/G$182)*100</f>
        <v>0.11137034692572376</v>
      </c>
      <c r="J154" s="103">
        <v>2</v>
      </c>
      <c r="K154" s="103">
        <v>0</v>
      </c>
      <c r="L154" s="114">
        <f t="shared" si="162"/>
        <v>-100</v>
      </c>
      <c r="M154" s="103">
        <v>2</v>
      </c>
      <c r="N154" s="103">
        <v>0</v>
      </c>
      <c r="O154" s="114">
        <f t="shared" si="163"/>
        <v>-100</v>
      </c>
      <c r="P154" s="115">
        <f>(N154/N$182)*100</f>
        <v>0</v>
      </c>
      <c r="Q154" s="103">
        <v>7964</v>
      </c>
      <c r="R154" s="103">
        <v>9868</v>
      </c>
      <c r="S154" s="114">
        <f t="shared" si="164"/>
        <v>23.907584128578605</v>
      </c>
      <c r="T154" s="103">
        <v>26044</v>
      </c>
      <c r="U154" s="103">
        <v>37864</v>
      </c>
      <c r="V154" s="114">
        <f t="shared" si="165"/>
        <v>45.384733527875902</v>
      </c>
      <c r="W154" s="115">
        <f>(U154/U$182)*100</f>
        <v>8.2812230201115569E-2</v>
      </c>
      <c r="X154" s="15">
        <v>879.1087</v>
      </c>
      <c r="Y154" s="15">
        <v>1250.644</v>
      </c>
      <c r="Z154" s="114">
        <f t="shared" si="166"/>
        <v>42.262725872238555</v>
      </c>
      <c r="AA154" s="15">
        <v>2363.9290000000001</v>
      </c>
      <c r="AB154" s="15">
        <v>4823.1169000000009</v>
      </c>
      <c r="AC154" s="114">
        <f t="shared" si="167"/>
        <v>104.02968532472848</v>
      </c>
      <c r="AD154" s="115">
        <f>(AB154/AB$182)*100</f>
        <v>0.86807352565665341</v>
      </c>
    </row>
    <row r="155" spans="1:30">
      <c r="A155" s="9"/>
      <c r="B155" s="109" t="s">
        <v>6</v>
      </c>
      <c r="C155" s="15">
        <v>0.20345058399999999</v>
      </c>
      <c r="D155" s="11">
        <v>6.3666999999999999E-5</v>
      </c>
      <c r="E155" s="114">
        <f t="shared" si="160"/>
        <v>-99.968706405875935</v>
      </c>
      <c r="F155" s="15">
        <v>0.81543542099999999</v>
      </c>
      <c r="G155" s="11">
        <v>5.8915891999999997E-2</v>
      </c>
      <c r="H155" s="114">
        <f t="shared" si="161"/>
        <v>-92.774916261578483</v>
      </c>
      <c r="I155" s="115">
        <f>(G155/G$183)*100</f>
        <v>6.3128103480992667E-3</v>
      </c>
      <c r="J155" s="103">
        <v>0</v>
      </c>
      <c r="K155" s="103">
        <v>0</v>
      </c>
      <c r="L155" s="106" t="s">
        <v>57</v>
      </c>
      <c r="M155" s="103">
        <v>0</v>
      </c>
      <c r="N155" s="103">
        <v>0</v>
      </c>
      <c r="O155" s="106" t="s">
        <v>57</v>
      </c>
      <c r="P155" s="115">
        <f>(N155/N$183)*100</f>
        <v>0</v>
      </c>
      <c r="Q155" s="103">
        <v>130</v>
      </c>
      <c r="R155" s="103">
        <v>1</v>
      </c>
      <c r="S155" s="114">
        <f t="shared" si="164"/>
        <v>-99.230769230769226</v>
      </c>
      <c r="T155" s="103">
        <v>519</v>
      </c>
      <c r="U155" s="103">
        <v>31</v>
      </c>
      <c r="V155" s="114">
        <f t="shared" si="165"/>
        <v>-94.026974951830439</v>
      </c>
      <c r="W155" s="115">
        <f>(U155/U$183)*100</f>
        <v>1.5368728009705105E-3</v>
      </c>
      <c r="X155" s="15">
        <v>37.123100000000001</v>
      </c>
      <c r="Y155" s="15">
        <v>0.12</v>
      </c>
      <c r="Z155" s="114">
        <f t="shared" si="166"/>
        <v>-99.676751133391349</v>
      </c>
      <c r="AA155" s="15">
        <v>139.34980000000002</v>
      </c>
      <c r="AB155" s="15">
        <v>8.2723999999999993</v>
      </c>
      <c r="AC155" s="114">
        <f t="shared" si="167"/>
        <v>-94.06357239120544</v>
      </c>
      <c r="AD155" s="115">
        <f>(AB155/AB$183)*100</f>
        <v>5.6928574820292316E-3</v>
      </c>
    </row>
    <row r="156" spans="1:30">
      <c r="A156" s="9"/>
      <c r="B156" s="108" t="s">
        <v>25</v>
      </c>
      <c r="C156" s="15">
        <v>5.2595340740000021</v>
      </c>
      <c r="D156" s="11">
        <v>18.602947066999995</v>
      </c>
      <c r="E156" s="114">
        <f t="shared" si="160"/>
        <v>253.69952557132135</v>
      </c>
      <c r="F156" s="15">
        <v>62.682674769000002</v>
      </c>
      <c r="G156" s="11">
        <v>252.02739337300002</v>
      </c>
      <c r="H156" s="114">
        <f t="shared" si="161"/>
        <v>302.06866458998223</v>
      </c>
      <c r="I156" s="115">
        <f>(G156/G$184)*100</f>
        <v>6.4753536274806862</v>
      </c>
      <c r="J156" s="103">
        <v>2</v>
      </c>
      <c r="K156" s="103">
        <v>8</v>
      </c>
      <c r="L156" s="114">
        <f t="shared" si="162"/>
        <v>300</v>
      </c>
      <c r="M156" s="103">
        <v>6</v>
      </c>
      <c r="N156" s="103">
        <v>31</v>
      </c>
      <c r="O156" s="114">
        <f t="shared" si="163"/>
        <v>416.66666666666669</v>
      </c>
      <c r="P156" s="115">
        <f>(N156/N$184)*100</f>
        <v>0.279379956741168</v>
      </c>
      <c r="Q156" s="103">
        <v>163165</v>
      </c>
      <c r="R156" s="103">
        <v>607073</v>
      </c>
      <c r="S156" s="114">
        <f t="shared" si="164"/>
        <v>272.06079735237336</v>
      </c>
      <c r="T156" s="103">
        <v>1916156</v>
      </c>
      <c r="U156" s="103">
        <v>1649942</v>
      </c>
      <c r="V156" s="114">
        <f t="shared" si="165"/>
        <v>-13.893127699414871</v>
      </c>
      <c r="W156" s="115">
        <f>(U156/U$184)*100</f>
        <v>5.2127316315283032</v>
      </c>
      <c r="X156" s="15">
        <v>3655.7338660999999</v>
      </c>
      <c r="Y156" s="15">
        <v>12274.238908599998</v>
      </c>
      <c r="Z156" s="114">
        <f t="shared" si="166"/>
        <v>235.75307607646968</v>
      </c>
      <c r="AA156" s="15">
        <v>39555.129469399995</v>
      </c>
      <c r="AB156" s="15">
        <v>44125.048904399999</v>
      </c>
      <c r="AC156" s="114">
        <f t="shared" si="167"/>
        <v>11.55329156117492</v>
      </c>
      <c r="AD156" s="115">
        <f>(AB156/AB$184)*100</f>
        <v>4.3352148795145844</v>
      </c>
    </row>
    <row r="157" spans="1:30">
      <c r="A157" s="9"/>
      <c r="B157" s="108"/>
      <c r="C157" s="15"/>
      <c r="D157" s="11"/>
      <c r="E157" s="114"/>
      <c r="F157" s="15"/>
      <c r="G157" s="11"/>
      <c r="H157" s="114"/>
      <c r="I157" s="115"/>
      <c r="J157" s="103"/>
      <c r="K157" s="103"/>
      <c r="L157" s="114"/>
      <c r="M157" s="103"/>
      <c r="N157" s="103"/>
      <c r="O157" s="114"/>
      <c r="P157" s="115"/>
      <c r="Q157" s="103"/>
      <c r="R157" s="103"/>
      <c r="S157" s="114"/>
      <c r="T157" s="103"/>
      <c r="U157" s="103"/>
      <c r="V157" s="114"/>
      <c r="W157" s="115"/>
      <c r="X157" s="15"/>
      <c r="Y157" s="15"/>
      <c r="Z157" s="114"/>
      <c r="AA157" s="15"/>
      <c r="AB157" s="15"/>
      <c r="AC157" s="114"/>
      <c r="AD157" s="115"/>
    </row>
    <row r="158" spans="1:30" s="24" customFormat="1" ht="15">
      <c r="A158" s="19">
        <v>23</v>
      </c>
      <c r="B158" s="107" t="s">
        <v>42</v>
      </c>
      <c r="C158" s="12">
        <f>C159+C160+C161+C162+C163</f>
        <v>346.92205012499994</v>
      </c>
      <c r="D158" s="12">
        <f>D159+D160+D161+D162+D163</f>
        <v>449.4791564258</v>
      </c>
      <c r="E158" s="110">
        <f t="shared" ref="E158:E163" si="168">((D158-C158)/C158)*100</f>
        <v>29.562002837192843</v>
      </c>
      <c r="F158" s="12">
        <f>F159+F160+F161+F162+F163</f>
        <v>1615.9847801189997</v>
      </c>
      <c r="G158" s="12">
        <f>G159+G160+G161+G162+G163</f>
        <v>1877.81718550492</v>
      </c>
      <c r="H158" s="110">
        <f t="shared" ref="H158:H163" si="169">((G158-F158)/F158)*100</f>
        <v>16.202652933812857</v>
      </c>
      <c r="I158" s="111">
        <f>(G158/G$179)*100</f>
        <v>1.4227839706998666</v>
      </c>
      <c r="J158" s="22">
        <f>J159+J160+J161+J162+J163</f>
        <v>36037</v>
      </c>
      <c r="K158" s="22">
        <f>K159+K160+K161+K162+K163</f>
        <v>41406</v>
      </c>
      <c r="L158" s="110">
        <f t="shared" ref="L158:L163" si="170">((K158-J158)/J158)*100</f>
        <v>14.898576463079612</v>
      </c>
      <c r="M158" s="22">
        <f>M159+M160+M161+M162+M163</f>
        <v>199652</v>
      </c>
      <c r="N158" s="22">
        <f>N159+N160+N161+N162+N163</f>
        <v>201115</v>
      </c>
      <c r="O158" s="110">
        <f t="shared" ref="O158:O163" si="171">((N158-M158)/M158)*100</f>
        <v>0.73277502854967647</v>
      </c>
      <c r="P158" s="111">
        <f>(N158/N$179)*100</f>
        <v>1.934495983550989</v>
      </c>
      <c r="Q158" s="22">
        <f>Q159+Q160+Q161+Q162+Q163</f>
        <v>39864</v>
      </c>
      <c r="R158" s="22">
        <f>R159+R160+R161+R162+R163</f>
        <v>58244</v>
      </c>
      <c r="S158" s="110">
        <f t="shared" ref="S158:S163" si="172">((R158-Q158)/Q158)*100</f>
        <v>46.106762994180208</v>
      </c>
      <c r="T158" s="22">
        <f>T159+T160+T161+T162+T163</f>
        <v>268541</v>
      </c>
      <c r="U158" s="22">
        <f>U159+U160+U161+U162+U163</f>
        <v>251945</v>
      </c>
      <c r="V158" s="110">
        <f t="shared" ref="V158:V163" si="173">((U158-T158)/T158)*100</f>
        <v>-6.1800618899907276</v>
      </c>
      <c r="W158" s="111">
        <f>(U158/U$179)*100</f>
        <v>0.31734323710758855</v>
      </c>
      <c r="X158" s="12">
        <f>X159+X160+X161+X162+X163</f>
        <v>18015.977873519998</v>
      </c>
      <c r="Y158" s="12">
        <f>Y159+Y160+Y161+Y162+Y163</f>
        <v>29066.489488471998</v>
      </c>
      <c r="Z158" s="110">
        <f t="shared" ref="Z158:Z163" si="174">((Y158-X158)/X158)*100</f>
        <v>61.33728456224469</v>
      </c>
      <c r="AA158" s="12">
        <f>AA159+AA160+AA161+AA162+AA163</f>
        <v>124998.059564159</v>
      </c>
      <c r="AB158" s="12">
        <f>AB159+AB160+AB161+AB162+AB163</f>
        <v>123026.72293431003</v>
      </c>
      <c r="AC158" s="110">
        <f t="shared" ref="AC158:AC163" si="175">((AB158-AA158)/AA158)*100</f>
        <v>-1.5770937858736307</v>
      </c>
      <c r="AD158" s="111">
        <f>(AB158/AB$179)*100</f>
        <v>4.8239166514618255</v>
      </c>
    </row>
    <row r="159" spans="1:30" ht="15" customHeight="1">
      <c r="A159" s="9"/>
      <c r="B159" s="109" t="s">
        <v>3</v>
      </c>
      <c r="C159" s="15">
        <v>63.508115574999991</v>
      </c>
      <c r="D159" s="11">
        <v>53.932619299999999</v>
      </c>
      <c r="E159" s="114">
        <f t="shared" si="168"/>
        <v>-15.077594711012637</v>
      </c>
      <c r="F159" s="15">
        <v>319.87317720799996</v>
      </c>
      <c r="G159" s="11">
        <v>218.236364866</v>
      </c>
      <c r="H159" s="114">
        <f t="shared" si="169"/>
        <v>-31.774096605765056</v>
      </c>
      <c r="I159" s="115">
        <f>(G159/G$180)*100</f>
        <v>1.2556145530016585</v>
      </c>
      <c r="J159" s="103">
        <v>362</v>
      </c>
      <c r="K159" s="103">
        <v>470</v>
      </c>
      <c r="L159" s="114">
        <f t="shared" si="170"/>
        <v>29.834254143646412</v>
      </c>
      <c r="M159" s="103">
        <v>1928</v>
      </c>
      <c r="N159" s="103">
        <v>2323</v>
      </c>
      <c r="O159" s="114">
        <f t="shared" si="171"/>
        <v>20.487551867219917</v>
      </c>
      <c r="P159" s="115">
        <f>(N159/N$180)*100</f>
        <v>0.45788917623312725</v>
      </c>
      <c r="Q159" s="103">
        <v>0</v>
      </c>
      <c r="R159" s="103">
        <v>0</v>
      </c>
      <c r="S159" s="106" t="s">
        <v>57</v>
      </c>
      <c r="T159" s="103">
        <v>0</v>
      </c>
      <c r="U159" s="103">
        <v>0</v>
      </c>
      <c r="V159" s="106" t="s">
        <v>57</v>
      </c>
      <c r="W159" s="106" t="s">
        <v>57</v>
      </c>
      <c r="X159" s="15">
        <v>295.74911099999986</v>
      </c>
      <c r="Y159" s="15">
        <v>167.17141999999996</v>
      </c>
      <c r="Z159" s="114">
        <f t="shared" si="174"/>
        <v>-43.475258662738625</v>
      </c>
      <c r="AA159" s="15">
        <v>2112.508836</v>
      </c>
      <c r="AB159" s="15">
        <v>639.17413450000004</v>
      </c>
      <c r="AC159" s="114">
        <f t="shared" si="175"/>
        <v>-69.743362791785259</v>
      </c>
      <c r="AD159" s="115">
        <f>(AB159/AB$180)*100</f>
        <v>3.4489148449869047</v>
      </c>
    </row>
    <row r="160" spans="1:30" s="27" customFormat="1">
      <c r="A160" s="9"/>
      <c r="B160" s="109" t="s">
        <v>4</v>
      </c>
      <c r="C160" s="15">
        <v>269.93782826699999</v>
      </c>
      <c r="D160" s="11">
        <v>377.18614890099997</v>
      </c>
      <c r="E160" s="114">
        <f t="shared" si="168"/>
        <v>39.730748862630286</v>
      </c>
      <c r="F160" s="15">
        <v>1247.5337838149994</v>
      </c>
      <c r="G160" s="11">
        <v>1570.8843057680001</v>
      </c>
      <c r="H160" s="114">
        <f t="shared" si="169"/>
        <v>25.91917959641815</v>
      </c>
      <c r="I160" s="115">
        <f>(G160/G$181)*100</f>
        <v>4.8770986442786874</v>
      </c>
      <c r="J160" s="103">
        <v>35642</v>
      </c>
      <c r="K160" s="103">
        <v>40913</v>
      </c>
      <c r="L160" s="114">
        <f t="shared" si="170"/>
        <v>14.788732394366196</v>
      </c>
      <c r="M160" s="103">
        <v>197563</v>
      </c>
      <c r="N160" s="103">
        <v>198669</v>
      </c>
      <c r="O160" s="114">
        <f t="shared" si="171"/>
        <v>0.55982142405207458</v>
      </c>
      <c r="P160" s="115">
        <f>(N160/N$181)*100</f>
        <v>2.0120759599717717</v>
      </c>
      <c r="Q160" s="103">
        <v>0</v>
      </c>
      <c r="R160" s="103">
        <v>0</v>
      </c>
      <c r="S160" s="106" t="s">
        <v>57</v>
      </c>
      <c r="T160" s="103">
        <v>0</v>
      </c>
      <c r="U160" s="103">
        <v>0</v>
      </c>
      <c r="V160" s="106" t="s">
        <v>57</v>
      </c>
      <c r="W160" s="106" t="s">
        <v>57</v>
      </c>
      <c r="X160" s="15">
        <v>14155.052854499998</v>
      </c>
      <c r="Y160" s="15">
        <v>21058.3938887</v>
      </c>
      <c r="Z160" s="114">
        <f t="shared" si="174"/>
        <v>48.769447243747862</v>
      </c>
      <c r="AA160" s="15">
        <v>97389.677785100008</v>
      </c>
      <c r="AB160" s="15">
        <v>90850.293589700013</v>
      </c>
      <c r="AC160" s="114">
        <f t="shared" si="175"/>
        <v>-6.7146584156791187</v>
      </c>
      <c r="AD160" s="115">
        <f>(AB160/AB$181)*100</f>
        <v>11.173807807484366</v>
      </c>
    </row>
    <row r="161" spans="1:30" s="27" customFormat="1">
      <c r="A161" s="9"/>
      <c r="B161" s="109" t="s">
        <v>5</v>
      </c>
      <c r="C161" s="15">
        <v>2.1823649619999999</v>
      </c>
      <c r="D161" s="11">
        <v>7.5928688258000001</v>
      </c>
      <c r="E161" s="114">
        <f t="shared" si="168"/>
        <v>247.91929663504195</v>
      </c>
      <c r="F161" s="15">
        <v>6.233299284000001</v>
      </c>
      <c r="G161" s="11">
        <v>32.211431897920001</v>
      </c>
      <c r="H161" s="114">
        <f t="shared" si="169"/>
        <v>416.76376234014941</v>
      </c>
      <c r="I161" s="115">
        <f>(G161/G$182)*100</f>
        <v>4.1527627502043592E-2</v>
      </c>
      <c r="J161" s="103">
        <v>0</v>
      </c>
      <c r="K161" s="103">
        <v>0</v>
      </c>
      <c r="L161" s="106" t="s">
        <v>57</v>
      </c>
      <c r="M161" s="103">
        <v>1</v>
      </c>
      <c r="N161" s="103">
        <v>2</v>
      </c>
      <c r="O161" s="114">
        <f t="shared" si="171"/>
        <v>100</v>
      </c>
      <c r="P161" s="115">
        <f>(N161/N$182)*100</f>
        <v>0.34129692832764508</v>
      </c>
      <c r="Q161" s="103">
        <v>2505</v>
      </c>
      <c r="R161" s="103">
        <v>5977</v>
      </c>
      <c r="S161" s="114">
        <f t="shared" si="172"/>
        <v>138.60279441117765</v>
      </c>
      <c r="T161" s="103">
        <v>7954</v>
      </c>
      <c r="U161" s="103">
        <v>25483</v>
      </c>
      <c r="V161" s="114">
        <f t="shared" si="173"/>
        <v>220.37968317827509</v>
      </c>
      <c r="W161" s="115">
        <f>(U161/U$182)*100</f>
        <v>5.5733785712418868E-2</v>
      </c>
      <c r="X161" s="15">
        <v>174.0714821</v>
      </c>
      <c r="Y161" s="15">
        <v>633.38307650000002</v>
      </c>
      <c r="Z161" s="114">
        <f t="shared" si="174"/>
        <v>263.8637810506699</v>
      </c>
      <c r="AA161" s="15">
        <v>510.2160518</v>
      </c>
      <c r="AB161" s="15">
        <v>2547.5798490120001</v>
      </c>
      <c r="AC161" s="114">
        <f t="shared" si="175"/>
        <v>399.31393573846788</v>
      </c>
      <c r="AD161" s="115">
        <f>(AB161/AB$182)*100</f>
        <v>0.45851814651718087</v>
      </c>
    </row>
    <row r="162" spans="1:30" s="27" customFormat="1">
      <c r="A162" s="9"/>
      <c r="B162" s="109" t="s">
        <v>6</v>
      </c>
      <c r="C162" s="15">
        <v>5.6096567129999997</v>
      </c>
      <c r="D162" s="11">
        <v>0.29246949</v>
      </c>
      <c r="E162" s="114">
        <f t="shared" si="168"/>
        <v>-94.78632107162241</v>
      </c>
      <c r="F162" s="15">
        <v>17.931158096000001</v>
      </c>
      <c r="G162" s="11">
        <v>2.0425215269999999</v>
      </c>
      <c r="H162" s="114">
        <f t="shared" si="169"/>
        <v>-88.609093087770844</v>
      </c>
      <c r="I162" s="115">
        <f>(G162/G$183)*100</f>
        <v>0.21885522893994569</v>
      </c>
      <c r="J162" s="103">
        <v>6</v>
      </c>
      <c r="K162" s="103">
        <v>1</v>
      </c>
      <c r="L162" s="114">
        <f t="shared" si="170"/>
        <v>-83.333333333333343</v>
      </c>
      <c r="M162" s="103">
        <v>34</v>
      </c>
      <c r="N162" s="103">
        <v>12</v>
      </c>
      <c r="O162" s="114">
        <f t="shared" si="171"/>
        <v>-64.705882352941174</v>
      </c>
      <c r="P162" s="115">
        <f>(N162/N$183)*100</f>
        <v>0.35231943628890194</v>
      </c>
      <c r="Q162" s="103">
        <v>12904</v>
      </c>
      <c r="R162" s="103">
        <v>14</v>
      </c>
      <c r="S162" s="114">
        <f t="shared" si="172"/>
        <v>-99.891506509609414</v>
      </c>
      <c r="T162" s="103">
        <v>29485</v>
      </c>
      <c r="U162" s="103">
        <v>13144</v>
      </c>
      <c r="V162" s="114">
        <f t="shared" si="173"/>
        <v>-55.421400712226557</v>
      </c>
      <c r="W162" s="115">
        <f>(U162/U$183)*100</f>
        <v>0.65163406761149645</v>
      </c>
      <c r="X162" s="15">
        <v>11.1418</v>
      </c>
      <c r="Y162" s="15">
        <v>0</v>
      </c>
      <c r="Z162" s="114">
        <f t="shared" si="174"/>
        <v>-100</v>
      </c>
      <c r="AA162" s="15">
        <v>16.744299999999999</v>
      </c>
      <c r="AB162" s="15">
        <v>0.91269999999999996</v>
      </c>
      <c r="AC162" s="114">
        <f t="shared" si="175"/>
        <v>-94.54918987356892</v>
      </c>
      <c r="AD162" s="115">
        <f>(AB162/AB$183)*100</f>
        <v>6.2809716936416027E-4</v>
      </c>
    </row>
    <row r="163" spans="1:30" s="27" customFormat="1">
      <c r="A163" s="9"/>
      <c r="B163" s="108" t="s">
        <v>25</v>
      </c>
      <c r="C163" s="15">
        <v>5.6840846080000009</v>
      </c>
      <c r="D163" s="11">
        <v>10.475049909000058</v>
      </c>
      <c r="E163" s="114">
        <f t="shared" si="168"/>
        <v>84.287367824487816</v>
      </c>
      <c r="F163" s="15">
        <v>24.413361716000281</v>
      </c>
      <c r="G163" s="11">
        <v>54.4425614459998</v>
      </c>
      <c r="H163" s="114">
        <f t="shared" si="169"/>
        <v>123.00313278985529</v>
      </c>
      <c r="I163" s="115">
        <f>(G163/G$184)*100</f>
        <v>1.398795714348972</v>
      </c>
      <c r="J163" s="103">
        <v>27</v>
      </c>
      <c r="K163" s="103">
        <v>22</v>
      </c>
      <c r="L163" s="114">
        <f t="shared" si="170"/>
        <v>-18.518518518518519</v>
      </c>
      <c r="M163" s="103">
        <v>126</v>
      </c>
      <c r="N163" s="103">
        <v>109</v>
      </c>
      <c r="O163" s="114">
        <f t="shared" si="171"/>
        <v>-13.492063492063492</v>
      </c>
      <c r="P163" s="115">
        <f>(N163/N$184)*100</f>
        <v>0.98233597692862284</v>
      </c>
      <c r="Q163" s="103">
        <v>24455</v>
      </c>
      <c r="R163" s="103">
        <v>52253</v>
      </c>
      <c r="S163" s="114">
        <f t="shared" si="172"/>
        <v>113.67000613371499</v>
      </c>
      <c r="T163" s="103">
        <v>231102</v>
      </c>
      <c r="U163" s="103">
        <v>213318</v>
      </c>
      <c r="V163" s="114">
        <f t="shared" si="173"/>
        <v>-7.6953033725368023</v>
      </c>
      <c r="W163" s="115">
        <f>(U163/U$184)*100</f>
        <v>0.67394459088522785</v>
      </c>
      <c r="X163" s="15">
        <v>3379.9626259199999</v>
      </c>
      <c r="Y163" s="15">
        <v>7207.5411032720003</v>
      </c>
      <c r="Z163" s="114">
        <f t="shared" si="174"/>
        <v>113.24321896340979</v>
      </c>
      <c r="AA163" s="15">
        <v>24968.912591258995</v>
      </c>
      <c r="AB163" s="15">
        <v>28988.762661098001</v>
      </c>
      <c r="AC163" s="114">
        <f t="shared" si="175"/>
        <v>16.099419849169788</v>
      </c>
      <c r="AD163" s="115">
        <f>(AB163/AB$184)*100</f>
        <v>2.8480991715020449</v>
      </c>
    </row>
    <row r="164" spans="1:30" s="27" customFormat="1">
      <c r="A164" s="9"/>
      <c r="B164" s="108"/>
      <c r="C164" s="15"/>
      <c r="D164" s="11"/>
      <c r="E164" s="114"/>
      <c r="F164" s="15"/>
      <c r="G164" s="11"/>
      <c r="H164" s="114"/>
      <c r="I164" s="115"/>
      <c r="J164" s="103"/>
      <c r="K164" s="103"/>
      <c r="L164" s="114"/>
      <c r="M164" s="103"/>
      <c r="N164" s="103"/>
      <c r="O164" s="114"/>
      <c r="P164" s="115"/>
      <c r="Q164" s="103"/>
      <c r="R164" s="103"/>
      <c r="S164" s="114"/>
      <c r="T164" s="103"/>
      <c r="U164" s="103"/>
      <c r="V164" s="114"/>
      <c r="W164" s="115"/>
      <c r="X164" s="15"/>
      <c r="Y164" s="15"/>
      <c r="Z164" s="114"/>
      <c r="AA164" s="15"/>
      <c r="AB164" s="15"/>
      <c r="AC164" s="114"/>
      <c r="AD164" s="115"/>
    </row>
    <row r="165" spans="1:30" s="26" customFormat="1" ht="15">
      <c r="A165" s="21"/>
      <c r="B165" s="107" t="s">
        <v>10</v>
      </c>
      <c r="C165" s="12">
        <f>C166+C167+C168+C169+C170</f>
        <v>8763.4845276121887</v>
      </c>
      <c r="D165" s="12">
        <f>D166+D167+D168+D169+D170</f>
        <v>12480.964556109351</v>
      </c>
      <c r="E165" s="110">
        <f t="shared" ref="E165:E170" si="176">((D165-C165)/C165)*100</f>
        <v>42.420112876151499</v>
      </c>
      <c r="F165" s="12">
        <f>F166+F167+F168+F169+F170</f>
        <v>36709.633627255018</v>
      </c>
      <c r="G165" s="12">
        <f>G166+G167+G168+G169+G170</f>
        <v>46869.299452292667</v>
      </c>
      <c r="H165" s="110">
        <f t="shared" ref="H165:H170" si="177">((G165-F165)/F165)*100</f>
        <v>27.675748355861064</v>
      </c>
      <c r="I165" s="111">
        <f>(G165/G$179)*100</f>
        <v>35.51191697115253</v>
      </c>
      <c r="J165" s="22">
        <f>J166+J167+J168+J169+J170</f>
        <v>624217</v>
      </c>
      <c r="K165" s="22">
        <f>K166+K167+K168+K169+K170</f>
        <v>666739</v>
      </c>
      <c r="L165" s="110">
        <f t="shared" ref="L165:L170" si="178">((K165-J165)/J165)*100</f>
        <v>6.8120541414283808</v>
      </c>
      <c r="M165" s="22">
        <f>M166+M167+M168+M169+M170</f>
        <v>2924034</v>
      </c>
      <c r="N165" s="22">
        <f>N166+N167+N168+N169+N170</f>
        <v>3022123</v>
      </c>
      <c r="O165" s="110">
        <f t="shared" ref="O165:O170" si="179">((N165-M165)/M165)*100</f>
        <v>3.3545779563438729</v>
      </c>
      <c r="P165" s="111">
        <f>(N165/N$179)*100</f>
        <v>29.06936233148728</v>
      </c>
      <c r="Q165" s="22">
        <f>Q166+Q167+Q168+Q169+Q170</f>
        <v>10345821</v>
      </c>
      <c r="R165" s="22">
        <f>R166+R167+R168+R169+R170</f>
        <v>16156655</v>
      </c>
      <c r="S165" s="110">
        <f t="shared" ref="S165:S170" si="180">((R165-Q165)/Q165)*100</f>
        <v>56.166001712188908</v>
      </c>
      <c r="T165" s="22">
        <f>T166+T167+T168+T169+T170</f>
        <v>44201788</v>
      </c>
      <c r="U165" s="22">
        <f>U166+U167+U168+U169+U170</f>
        <v>67687626</v>
      </c>
      <c r="V165" s="110">
        <f t="shared" ref="V165:V170" si="181">((U165-T165)/T165)*100</f>
        <v>53.133230719083123</v>
      </c>
      <c r="W165" s="111">
        <f>(U165/U$179)*100</f>
        <v>85.257537744221054</v>
      </c>
      <c r="X165" s="12">
        <f>X166+X167+X168+X169+X170</f>
        <v>302336.86305526749</v>
      </c>
      <c r="Y165" s="12">
        <f>Y166+Y167+Y168+Y169+Y170</f>
        <v>382816.07628494373</v>
      </c>
      <c r="Z165" s="110">
        <f t="shared" ref="Z165:Z170" si="182">((Y165-X165)/X165)*100</f>
        <v>26.619054129355231</v>
      </c>
      <c r="AA165" s="12">
        <f>AA166+AA167+AA168+AA169+AA170</f>
        <v>1715928.8974365867</v>
      </c>
      <c r="AB165" s="12">
        <f>AB166+AB167+AB168+AB169+AB170</f>
        <v>2088628.2408067835</v>
      </c>
      <c r="AC165" s="110">
        <f t="shared" ref="AC165:AC170" si="183">((AB165-AA165)/AA165)*100</f>
        <v>21.719975922485464</v>
      </c>
      <c r="AD165" s="111">
        <f>(AB165/AB$179)*100</f>
        <v>81.895772798248004</v>
      </c>
    </row>
    <row r="166" spans="1:30">
      <c r="A166" s="8"/>
      <c r="B166" s="108" t="s">
        <v>3</v>
      </c>
      <c r="C166" s="13">
        <f t="shared" ref="C166:D170" si="184">C5+C12+C19+C26+C33+C40+C47+C54+C61+C68+C75+C82+C89+C96+C103+C110+C117+C124+C131+C138+C145+C152+C159</f>
        <v>1216.3526996059998</v>
      </c>
      <c r="D166" s="13">
        <f t="shared" si="184"/>
        <v>1681.7861739779428</v>
      </c>
      <c r="E166" s="114">
        <f t="shared" si="176"/>
        <v>38.264680509420167</v>
      </c>
      <c r="F166" s="13">
        <f t="shared" ref="F166:G170" si="185">F5+F12+F19+F26+F33+F40+F47+F54+F61+F68+F75+F82+F89+F96+F103+F110+F117+F124+F131+F138+F145+F152+F159</f>
        <v>5445.6665323422576</v>
      </c>
      <c r="G166" s="13">
        <f t="shared" si="185"/>
        <v>7280.2607639632779</v>
      </c>
      <c r="H166" s="114">
        <f t="shared" si="177"/>
        <v>33.689066723517044</v>
      </c>
      <c r="I166" s="115">
        <f>(G166/G$180)*100</f>
        <v>41.886701011044067</v>
      </c>
      <c r="J166" s="118">
        <f t="shared" ref="J166:K170" si="186">J5+J12+J19+J26+J33+J40+J47+J54+J61+J68+J75+J82+J89+J96+J103+J110+J117+J124+J131+J138+J145+J152+J159</f>
        <v>21476</v>
      </c>
      <c r="K166" s="118">
        <f t="shared" si="186"/>
        <v>23925</v>
      </c>
      <c r="L166" s="114">
        <f t="shared" si="178"/>
        <v>11.403427081393183</v>
      </c>
      <c r="M166" s="118">
        <f t="shared" ref="M166:N170" si="187">M5+M12+M19+M26+M33+M40+M47+M54+M61+M68+M75+M82+M89+M96+M103+M110+M117+M124+M131+M138+M145+M152+M159</f>
        <v>86475</v>
      </c>
      <c r="N166" s="118">
        <f t="shared" si="187"/>
        <v>113274</v>
      </c>
      <c r="O166" s="114">
        <f t="shared" si="179"/>
        <v>30.990459670424979</v>
      </c>
      <c r="P166" s="115">
        <f>(N166/N$180)*100</f>
        <v>22.327567175476222</v>
      </c>
      <c r="Q166" s="118">
        <f t="shared" ref="Q166:R170" si="188">Q5+Q12+Q19+Q26+Q33+Q40+Q47+Q54+Q61+Q68+Q75+Q82+Q89+Q96+Q103+Q110+Q117+Q124+Q131+Q138+Q145+Q152+Q159</f>
        <v>0</v>
      </c>
      <c r="R166" s="118">
        <f t="shared" si="188"/>
        <v>0</v>
      </c>
      <c r="S166" s="106" t="s">
        <v>57</v>
      </c>
      <c r="T166" s="118">
        <f t="shared" ref="T166:U170" si="189">T5+T12+T19+T26+T33+T40+T47+T54+T61+T68+T75+T82+T89+T96+T103+T110+T117+T124+T131+T138+T145+T152+T159</f>
        <v>0</v>
      </c>
      <c r="U166" s="118">
        <f t="shared" si="189"/>
        <v>0</v>
      </c>
      <c r="V166" s="106" t="s">
        <v>57</v>
      </c>
      <c r="W166" s="106" t="s">
        <v>57</v>
      </c>
      <c r="X166" s="13">
        <f t="shared" ref="X166:Y170" si="190">X5+X12+X19+X26+X33+X40+X47+X54+X61+X68+X75+X82+X89+X96+X103+X110+X117+X124+X131+X138+X145+X152+X159</f>
        <v>2356.074366359996</v>
      </c>
      <c r="Y166" s="13">
        <f t="shared" si="190"/>
        <v>2391.2991122830008</v>
      </c>
      <c r="Z166" s="114">
        <f t="shared" si="182"/>
        <v>1.4950608701466861</v>
      </c>
      <c r="AA166" s="13">
        <f t="shared" ref="AA166:AB170" si="191">AA5+AA12+AA19+AA26+AA33+AA40+AA47+AA54+AA61+AA68+AA75+AA82+AA89+AA96+AA103+AA110+AA117+AA124+AA131+AA138+AA145+AA152+AA159</f>
        <v>10612.947210659997</v>
      </c>
      <c r="AB166" s="13">
        <f t="shared" si="191"/>
        <v>10624.381813288997</v>
      </c>
      <c r="AC166" s="114">
        <f t="shared" si="183"/>
        <v>0.10774200984920704</v>
      </c>
      <c r="AD166" s="115">
        <f>(AB166/AB$180)*100</f>
        <v>57.328020920817337</v>
      </c>
    </row>
    <row r="167" spans="1:30">
      <c r="A167" s="8"/>
      <c r="B167" s="108" t="s">
        <v>4</v>
      </c>
      <c r="C167" s="13">
        <f t="shared" si="184"/>
        <v>3674.1291411496154</v>
      </c>
      <c r="D167" s="13">
        <f t="shared" si="184"/>
        <v>4957.4710601807947</v>
      </c>
      <c r="E167" s="114">
        <f t="shared" si="176"/>
        <v>34.929145648637395</v>
      </c>
      <c r="F167" s="13">
        <f t="shared" si="185"/>
        <v>15487.850939739154</v>
      </c>
      <c r="G167" s="13">
        <f t="shared" si="185"/>
        <v>20404.144473952412</v>
      </c>
      <c r="H167" s="114">
        <f t="shared" si="177"/>
        <v>31.742903217120315</v>
      </c>
      <c r="I167" s="115">
        <f>(G167/G$181)*100</f>
        <v>63.348411456009934</v>
      </c>
      <c r="J167" s="118">
        <f t="shared" si="186"/>
        <v>602101</v>
      </c>
      <c r="K167" s="118">
        <f t="shared" si="186"/>
        <v>642570</v>
      </c>
      <c r="L167" s="114">
        <f t="shared" si="178"/>
        <v>6.721297589607059</v>
      </c>
      <c r="M167" s="118">
        <f t="shared" si="187"/>
        <v>2833891</v>
      </c>
      <c r="N167" s="118">
        <f t="shared" si="187"/>
        <v>2906476</v>
      </c>
      <c r="O167" s="114">
        <f t="shared" si="179"/>
        <v>2.5613194014872129</v>
      </c>
      <c r="P167" s="115">
        <f>(N167/N$181)*100</f>
        <v>29.436150017541312</v>
      </c>
      <c r="Q167" s="118">
        <f t="shared" si="188"/>
        <v>0</v>
      </c>
      <c r="R167" s="118">
        <f t="shared" si="188"/>
        <v>0</v>
      </c>
      <c r="S167" s="106" t="s">
        <v>57</v>
      </c>
      <c r="T167" s="118">
        <f t="shared" si="189"/>
        <v>0</v>
      </c>
      <c r="U167" s="118">
        <f t="shared" si="189"/>
        <v>0</v>
      </c>
      <c r="V167" s="106" t="s">
        <v>57</v>
      </c>
      <c r="W167" s="106" t="s">
        <v>57</v>
      </c>
      <c r="X167" s="13">
        <f t="shared" si="190"/>
        <v>108054.6822896597</v>
      </c>
      <c r="Y167" s="13">
        <f t="shared" si="190"/>
        <v>114402.22891590149</v>
      </c>
      <c r="Z167" s="114">
        <f t="shared" si="182"/>
        <v>5.8743836840184933</v>
      </c>
      <c r="AA167" s="13">
        <f t="shared" si="191"/>
        <v>660368.73930053529</v>
      </c>
      <c r="AB167" s="13">
        <f t="shared" si="191"/>
        <v>596076.3172144196</v>
      </c>
      <c r="AC167" s="114">
        <f t="shared" si="183"/>
        <v>-9.7358367015092853</v>
      </c>
      <c r="AD167" s="115">
        <f>(AB167/AB$181)*100</f>
        <v>73.312280499907217</v>
      </c>
    </row>
    <row r="168" spans="1:30">
      <c r="A168" s="8"/>
      <c r="B168" s="108" t="s">
        <v>5</v>
      </c>
      <c r="C168" s="13">
        <f t="shared" si="184"/>
        <v>3155.1661198224629</v>
      </c>
      <c r="D168" s="13">
        <f t="shared" si="184"/>
        <v>5093.8938545191177</v>
      </c>
      <c r="E168" s="114">
        <f t="shared" si="176"/>
        <v>61.446138208588032</v>
      </c>
      <c r="F168" s="13">
        <f t="shared" si="185"/>
        <v>13333.758605697787</v>
      </c>
      <c r="G168" s="13">
        <f t="shared" si="185"/>
        <v>15824.932656901165</v>
      </c>
      <c r="H168" s="114">
        <f t="shared" si="177"/>
        <v>18.683209475075152</v>
      </c>
      <c r="I168" s="115">
        <f>(G168/G$182)*100</f>
        <v>20.401822269290438</v>
      </c>
      <c r="J168" s="118">
        <f t="shared" si="186"/>
        <v>121</v>
      </c>
      <c r="K168" s="118">
        <f t="shared" si="186"/>
        <v>97</v>
      </c>
      <c r="L168" s="114">
        <f t="shared" si="178"/>
        <v>-19.834710743801654</v>
      </c>
      <c r="M168" s="118">
        <f t="shared" si="187"/>
        <v>447</v>
      </c>
      <c r="N168" s="118">
        <f t="shared" si="187"/>
        <v>493</v>
      </c>
      <c r="O168" s="114">
        <f t="shared" si="179"/>
        <v>10.290827740492169</v>
      </c>
      <c r="P168" s="115">
        <f>(N168/N$182)*100</f>
        <v>84.129692832764505</v>
      </c>
      <c r="Q168" s="118">
        <f t="shared" si="188"/>
        <v>6232102</v>
      </c>
      <c r="R168" s="118">
        <f t="shared" si="188"/>
        <v>11908120</v>
      </c>
      <c r="S168" s="114">
        <f t="shared" si="180"/>
        <v>91.077103680267101</v>
      </c>
      <c r="T168" s="118">
        <f t="shared" si="189"/>
        <v>21361384</v>
      </c>
      <c r="U168" s="118">
        <f t="shared" si="189"/>
        <v>45708080</v>
      </c>
      <c r="V168" s="114">
        <f t="shared" si="181"/>
        <v>113.97527426125573</v>
      </c>
      <c r="W168" s="115">
        <f>(U168/U$182)*100</f>
        <v>99.96799183950472</v>
      </c>
      <c r="X168" s="13">
        <f t="shared" si="190"/>
        <v>52866.729394616908</v>
      </c>
      <c r="Y168" s="13">
        <f t="shared" si="190"/>
        <v>120972.11714904603</v>
      </c>
      <c r="Z168" s="114">
        <f t="shared" si="182"/>
        <v>128.82466635313335</v>
      </c>
      <c r="AA168" s="13">
        <f t="shared" si="191"/>
        <v>258904.08997435565</v>
      </c>
      <c r="AB168" s="13">
        <f t="shared" si="191"/>
        <v>555273.13783291786</v>
      </c>
      <c r="AC168" s="114">
        <f t="shared" si="183"/>
        <v>114.4705932949601</v>
      </c>
      <c r="AD168" s="115">
        <f>(AB168/AB$182)*100</f>
        <v>99.939089276698596</v>
      </c>
    </row>
    <row r="169" spans="1:30">
      <c r="A169" s="8"/>
      <c r="B169" s="108" t="s">
        <v>6</v>
      </c>
      <c r="C169" s="13">
        <f t="shared" si="184"/>
        <v>13.486811617999999</v>
      </c>
      <c r="D169" s="13">
        <f t="shared" si="184"/>
        <v>18.293772561899996</v>
      </c>
      <c r="E169" s="114">
        <f t="shared" si="176"/>
        <v>35.641937324048094</v>
      </c>
      <c r="F169" s="13">
        <f t="shared" si="185"/>
        <v>61.855805378530007</v>
      </c>
      <c r="G169" s="13">
        <f t="shared" si="185"/>
        <v>127.8621688516601</v>
      </c>
      <c r="H169" s="114">
        <f t="shared" si="177"/>
        <v>106.71005424503086</v>
      </c>
      <c r="I169" s="115">
        <f>(G169/G$183)*100</f>
        <v>13.700371754656206</v>
      </c>
      <c r="J169" s="118">
        <f t="shared" si="186"/>
        <v>44</v>
      </c>
      <c r="K169" s="118">
        <f t="shared" si="186"/>
        <v>12</v>
      </c>
      <c r="L169" s="114">
        <f t="shared" si="178"/>
        <v>-72.727272727272734</v>
      </c>
      <c r="M169" s="118">
        <f t="shared" si="187"/>
        <v>146</v>
      </c>
      <c r="N169" s="118">
        <f t="shared" si="187"/>
        <v>121</v>
      </c>
      <c r="O169" s="114">
        <f t="shared" si="179"/>
        <v>-17.123287671232877</v>
      </c>
      <c r="P169" s="115">
        <f>(N169/N$183)*100</f>
        <v>3.5525543159130946</v>
      </c>
      <c r="Q169" s="118">
        <f t="shared" si="188"/>
        <v>100723</v>
      </c>
      <c r="R169" s="118">
        <f t="shared" si="188"/>
        <v>78567</v>
      </c>
      <c r="S169" s="114">
        <f t="shared" si="180"/>
        <v>-21.996961964993101</v>
      </c>
      <c r="T169" s="118">
        <f t="shared" si="189"/>
        <v>328159</v>
      </c>
      <c r="U169" s="118">
        <f t="shared" si="189"/>
        <v>1044074</v>
      </c>
      <c r="V169" s="114">
        <f t="shared" si="181"/>
        <v>218.16101341118178</v>
      </c>
      <c r="W169" s="115">
        <f>(U169/U$183)*100</f>
        <v>51.761578477434988</v>
      </c>
      <c r="X169" s="13">
        <f t="shared" si="190"/>
        <v>5744.8325212</v>
      </c>
      <c r="Y169" s="13">
        <f t="shared" si="190"/>
        <v>9258.2075005000006</v>
      </c>
      <c r="Z169" s="114">
        <f t="shared" si="182"/>
        <v>61.157134978864711</v>
      </c>
      <c r="AA169" s="13">
        <f t="shared" si="191"/>
        <v>29897.759302099996</v>
      </c>
      <c r="AB169" s="13">
        <f t="shared" si="191"/>
        <v>136876.59721489999</v>
      </c>
      <c r="AC169" s="114">
        <f t="shared" si="183"/>
        <v>357.81557016309876</v>
      </c>
      <c r="AD169" s="115">
        <f>(AB169/AB$183)*100</f>
        <v>94.195029322753356</v>
      </c>
    </row>
    <row r="170" spans="1:30">
      <c r="A170" s="8"/>
      <c r="B170" s="108" t="s">
        <v>25</v>
      </c>
      <c r="C170" s="13">
        <f t="shared" si="184"/>
        <v>704.34975541611186</v>
      </c>
      <c r="D170" s="13">
        <f t="shared" si="184"/>
        <v>729.51969486959501</v>
      </c>
      <c r="E170" s="114">
        <f t="shared" si="176"/>
        <v>3.573500133980084</v>
      </c>
      <c r="F170" s="13">
        <f t="shared" si="185"/>
        <v>2380.5017440972906</v>
      </c>
      <c r="G170" s="13">
        <f t="shared" si="185"/>
        <v>3232.0993886241563</v>
      </c>
      <c r="H170" s="114">
        <f t="shared" si="177"/>
        <v>35.773871900682003</v>
      </c>
      <c r="I170" s="115">
        <f>(G170/G$184)*100</f>
        <v>83.042506691051159</v>
      </c>
      <c r="J170" s="118">
        <f t="shared" si="186"/>
        <v>475</v>
      </c>
      <c r="K170" s="118">
        <f t="shared" si="186"/>
        <v>135</v>
      </c>
      <c r="L170" s="114">
        <f t="shared" si="178"/>
        <v>-71.578947368421055</v>
      </c>
      <c r="M170" s="118">
        <f t="shared" si="187"/>
        <v>3075</v>
      </c>
      <c r="N170" s="118">
        <f t="shared" si="187"/>
        <v>1759</v>
      </c>
      <c r="O170" s="114">
        <f t="shared" si="179"/>
        <v>-42.796747967479675</v>
      </c>
      <c r="P170" s="115">
        <f>(N170/N$184)*100</f>
        <v>15.852559480894016</v>
      </c>
      <c r="Q170" s="118">
        <f t="shared" si="188"/>
        <v>4012996</v>
      </c>
      <c r="R170" s="118">
        <f t="shared" si="188"/>
        <v>4169968</v>
      </c>
      <c r="S170" s="114">
        <f t="shared" si="180"/>
        <v>3.9115912400610418</v>
      </c>
      <c r="T170" s="118">
        <f t="shared" si="189"/>
        <v>22512245</v>
      </c>
      <c r="U170" s="118">
        <f t="shared" si="189"/>
        <v>20935472</v>
      </c>
      <c r="V170" s="114">
        <f t="shared" si="181"/>
        <v>-7.0040682304230426</v>
      </c>
      <c r="W170" s="115">
        <f>(U170/U$184)*100</f>
        <v>66.142323254620521</v>
      </c>
      <c r="X170" s="13">
        <f t="shared" si="190"/>
        <v>133314.54448343083</v>
      </c>
      <c r="Y170" s="13">
        <f t="shared" si="190"/>
        <v>135792.22360721324</v>
      </c>
      <c r="Z170" s="114">
        <f t="shared" si="182"/>
        <v>1.8585212389112944</v>
      </c>
      <c r="AA170" s="13">
        <f t="shared" si="191"/>
        <v>756145.36164893582</v>
      </c>
      <c r="AB170" s="13">
        <f t="shared" si="191"/>
        <v>789777.80673125701</v>
      </c>
      <c r="AC170" s="114">
        <f t="shared" si="183"/>
        <v>4.447880895411231</v>
      </c>
      <c r="AD170" s="115">
        <f>(AB170/AB$184)*100</f>
        <v>77.594395570410896</v>
      </c>
    </row>
    <row r="171" spans="1:30">
      <c r="A171" s="8"/>
      <c r="B171" s="108"/>
      <c r="C171" s="13"/>
      <c r="D171" s="11"/>
      <c r="E171" s="114"/>
      <c r="F171" s="13"/>
      <c r="G171" s="11"/>
      <c r="H171" s="114"/>
      <c r="I171" s="115"/>
      <c r="J171" s="118"/>
      <c r="K171" s="118"/>
      <c r="L171" s="114"/>
      <c r="M171" s="118"/>
      <c r="N171" s="118"/>
      <c r="O171" s="114"/>
      <c r="P171" s="115"/>
      <c r="Q171" s="118"/>
      <c r="R171" s="118"/>
      <c r="S171" s="114"/>
      <c r="T171" s="118"/>
      <c r="U171" s="118"/>
      <c r="V171" s="114"/>
      <c r="W171" s="115"/>
      <c r="X171" s="13"/>
      <c r="Y171" s="13"/>
      <c r="Z171" s="114"/>
      <c r="AA171" s="13"/>
      <c r="AB171" s="13"/>
      <c r="AC171" s="114"/>
      <c r="AD171" s="115"/>
    </row>
    <row r="172" spans="1:30" s="24" customFormat="1" ht="15">
      <c r="A172" s="16">
        <v>24</v>
      </c>
      <c r="B172" s="107" t="s">
        <v>52</v>
      </c>
      <c r="C172" s="12">
        <f>C173+C174+C175+C176+C177</f>
        <v>16602.836611127997</v>
      </c>
      <c r="D172" s="12">
        <f>D173+D174+D175+D176+D177</f>
        <v>18520.206543959004</v>
      </c>
      <c r="E172" s="110">
        <f t="shared" ref="E172:E177" si="192">((D172-C172)/C172)*100</f>
        <v>11.548447881164451</v>
      </c>
      <c r="F172" s="12">
        <f>F173+F174+F175+F176+F177</f>
        <v>88018.014894234002</v>
      </c>
      <c r="G172" s="12">
        <f>G173+G174+G175+G176+G177</f>
        <v>85112.591275730025</v>
      </c>
      <c r="H172" s="110">
        <f t="shared" ref="H172:H177" si="193">((G172-F172)/F172)*100</f>
        <v>-3.3009419969255744</v>
      </c>
      <c r="I172" s="111">
        <f>(G172/G$179)*100</f>
        <v>64.488083028847484</v>
      </c>
      <c r="J172" s="22">
        <f>J173+J174+J175+J176+J177</f>
        <v>1666521</v>
      </c>
      <c r="K172" s="22">
        <f>K173+K174+K175+K176+K177</f>
        <v>1780165</v>
      </c>
      <c r="L172" s="110">
        <f t="shared" ref="L172:L177" si="194">((K172-J172)/J172)*100</f>
        <v>6.819236001226507</v>
      </c>
      <c r="M172" s="22">
        <f>M173+M174+M175+M176+M177</f>
        <v>6161576</v>
      </c>
      <c r="N172" s="22">
        <f>N173+N174+N175+N176+N177</f>
        <v>7374125</v>
      </c>
      <c r="O172" s="110">
        <f t="shared" ref="O172:O177" si="195">((N172-M172)/M172)*100</f>
        <v>19.679202204111416</v>
      </c>
      <c r="P172" s="111">
        <f>(N172/N$179)*100</f>
        <v>70.930637668512716</v>
      </c>
      <c r="Q172" s="22">
        <f>Q173+Q174+Q175+Q176+Q177</f>
        <v>2141910</v>
      </c>
      <c r="R172" s="22">
        <f>R173+R174+R175+R176+R177</f>
        <v>2271056</v>
      </c>
      <c r="S172" s="110">
        <f t="shared" ref="S172:S177" si="196">((R172-Q172)/Q172)*100</f>
        <v>6.0294783627696775</v>
      </c>
      <c r="T172" s="22">
        <f>T173+T174+T175+T176+T177</f>
        <v>10311606</v>
      </c>
      <c r="U172" s="22">
        <f>U173+U174+U175+U176+U177</f>
        <v>11704329</v>
      </c>
      <c r="V172" s="110">
        <f t="shared" ref="V172:V177" si="197">((U172-T172)/T172)*100</f>
        <v>13.506363606212263</v>
      </c>
      <c r="W172" s="111">
        <f>(U172/U$179)*100</f>
        <v>14.742462255778937</v>
      </c>
      <c r="X172" s="12">
        <f>X173+X174+X175+X176+X177</f>
        <v>59347.578526800004</v>
      </c>
      <c r="Y172" s="12">
        <f>Y173+Y174+Y175+Y176+Y177</f>
        <v>113987.73767319995</v>
      </c>
      <c r="Z172" s="110">
        <f t="shared" ref="Z172:Z177" si="198">((Y172-X172)/X172)*100</f>
        <v>92.068051473617757</v>
      </c>
      <c r="AA172" s="12">
        <f>AA173+AA174+AA175+AA176+AA177</f>
        <v>285855.61837679998</v>
      </c>
      <c r="AB172" s="12">
        <f>AB173+AB174+AB175+AB176+AB177</f>
        <v>461721.02563479997</v>
      </c>
      <c r="AC172" s="110">
        <f t="shared" ref="AC172:AC177" si="199">((AB172-AA172)/AA172)*100</f>
        <v>61.522459574743557</v>
      </c>
      <c r="AD172" s="111">
        <f>(AB172/AB$179)*100</f>
        <v>18.104227201752011</v>
      </c>
    </row>
    <row r="173" spans="1:30">
      <c r="A173" s="8"/>
      <c r="B173" s="108" t="s">
        <v>3</v>
      </c>
      <c r="C173" s="15">
        <v>2657.5891127</v>
      </c>
      <c r="D173" s="11">
        <v>2292.190802399999</v>
      </c>
      <c r="E173" s="114">
        <f t="shared" si="192"/>
        <v>-13.749240187425793</v>
      </c>
      <c r="F173" s="15">
        <v>15048.3510271</v>
      </c>
      <c r="G173" s="11">
        <v>10100.579904399998</v>
      </c>
      <c r="H173" s="114">
        <f t="shared" si="193"/>
        <v>-32.87915808044184</v>
      </c>
      <c r="I173" s="115">
        <f>(G173/G$180)*100</f>
        <v>58.11329898895594</v>
      </c>
      <c r="J173" s="103">
        <v>90246</v>
      </c>
      <c r="K173" s="103">
        <v>93611</v>
      </c>
      <c r="L173" s="114">
        <f t="shared" si="194"/>
        <v>3.7286971167697183</v>
      </c>
      <c r="M173" s="103">
        <v>418001</v>
      </c>
      <c r="N173" s="103">
        <v>394054</v>
      </c>
      <c r="O173" s="114">
        <f t="shared" si="195"/>
        <v>-5.7289336628381271</v>
      </c>
      <c r="P173" s="115">
        <f>(N173/N$180)*100</f>
        <v>77.672432824523781</v>
      </c>
      <c r="Q173" s="103">
        <v>0</v>
      </c>
      <c r="R173" s="103">
        <v>0</v>
      </c>
      <c r="S173" s="106" t="s">
        <v>57</v>
      </c>
      <c r="T173" s="103">
        <v>0</v>
      </c>
      <c r="U173" s="103">
        <v>0</v>
      </c>
      <c r="V173" s="106" t="s">
        <v>57</v>
      </c>
      <c r="W173" s="106" t="s">
        <v>57</v>
      </c>
      <c r="X173" s="15">
        <v>1310.8056000000004</v>
      </c>
      <c r="Y173" s="15">
        <v>2019.1222</v>
      </c>
      <c r="Z173" s="114">
        <f t="shared" si="198"/>
        <v>54.036738933675551</v>
      </c>
      <c r="AA173" s="15">
        <v>5212.3058999999994</v>
      </c>
      <c r="AB173" s="15">
        <v>7908.2339000000002</v>
      </c>
      <c r="AC173" s="114">
        <f t="shared" si="199"/>
        <v>51.722367254001746</v>
      </c>
      <c r="AD173" s="115">
        <f>(AB173/AB$180)*100</f>
        <v>42.671979079182663</v>
      </c>
    </row>
    <row r="174" spans="1:30">
      <c r="A174" s="8"/>
      <c r="B174" s="108" t="s">
        <v>4</v>
      </c>
      <c r="C174" s="15">
        <v>1991.5733402999986</v>
      </c>
      <c r="D174" s="11">
        <v>2523.9403897000002</v>
      </c>
      <c r="E174" s="114">
        <f t="shared" si="192"/>
        <v>26.730978901324772</v>
      </c>
      <c r="F174" s="15">
        <v>10857.3916818</v>
      </c>
      <c r="G174" s="11">
        <v>11805.2574747</v>
      </c>
      <c r="H174" s="114">
        <f t="shared" si="193"/>
        <v>8.7301427514021253</v>
      </c>
      <c r="I174" s="115">
        <f>(G174/G$181)*100</f>
        <v>36.651588543990066</v>
      </c>
      <c r="J174" s="103">
        <v>1573468</v>
      </c>
      <c r="K174" s="103">
        <v>1683304</v>
      </c>
      <c r="L174" s="114">
        <f t="shared" si="194"/>
        <v>6.9805042110802376</v>
      </c>
      <c r="M174" s="103">
        <v>5732554</v>
      </c>
      <c r="N174" s="103">
        <v>6967356</v>
      </c>
      <c r="O174" s="114">
        <f t="shared" si="195"/>
        <v>21.540172146655749</v>
      </c>
      <c r="P174" s="115">
        <f>(N174/N$181)*100</f>
        <v>70.563849982458677</v>
      </c>
      <c r="Q174" s="103">
        <v>0</v>
      </c>
      <c r="R174" s="103">
        <v>0</v>
      </c>
      <c r="S174" s="106" t="s">
        <v>57</v>
      </c>
      <c r="T174" s="103">
        <v>0</v>
      </c>
      <c r="U174" s="103">
        <v>0</v>
      </c>
      <c r="V174" s="106" t="s">
        <v>57</v>
      </c>
      <c r="W174" s="106" t="s">
        <v>57</v>
      </c>
      <c r="X174" s="15">
        <v>45596.9205</v>
      </c>
      <c r="Y174" s="15">
        <v>51761.208599999984</v>
      </c>
      <c r="Z174" s="114">
        <f t="shared" si="198"/>
        <v>13.519088641084837</v>
      </c>
      <c r="AA174" s="15">
        <v>171705.97769999996</v>
      </c>
      <c r="AB174" s="15">
        <v>216988.44240000003</v>
      </c>
      <c r="AC174" s="114">
        <f t="shared" si="199"/>
        <v>26.372095664087109</v>
      </c>
      <c r="AD174" s="115">
        <f>(AB174/AB$181)*100</f>
        <v>26.68771950009279</v>
      </c>
    </row>
    <row r="175" spans="1:30">
      <c r="A175" s="8"/>
      <c r="B175" s="108" t="s">
        <v>5</v>
      </c>
      <c r="C175" s="15">
        <v>11366.198123917</v>
      </c>
      <c r="D175" s="11">
        <v>13367.085000333003</v>
      </c>
      <c r="E175" s="114">
        <f t="shared" si="192"/>
        <v>17.60383599337138</v>
      </c>
      <c r="F175" s="15">
        <v>57969.146029292002</v>
      </c>
      <c r="G175" s="11">
        <v>61741.337885125016</v>
      </c>
      <c r="H175" s="114">
        <f t="shared" si="193"/>
        <v>6.5072406861521008</v>
      </c>
      <c r="I175" s="115">
        <f>(G175/G$182)*100</f>
        <v>79.598177730709565</v>
      </c>
      <c r="J175" s="103">
        <v>39</v>
      </c>
      <c r="K175" s="103">
        <v>30</v>
      </c>
      <c r="L175" s="114">
        <f t="shared" si="194"/>
        <v>-23.076923076923077</v>
      </c>
      <c r="M175" s="103">
        <v>106</v>
      </c>
      <c r="N175" s="103">
        <v>93</v>
      </c>
      <c r="O175" s="114">
        <f t="shared" si="195"/>
        <v>-12.264150943396226</v>
      </c>
      <c r="P175" s="115">
        <f>(N175/N$182)*100</f>
        <v>15.870307167235495</v>
      </c>
      <c r="Q175" s="103">
        <v>12449</v>
      </c>
      <c r="R175" s="103">
        <v>4430</v>
      </c>
      <c r="S175" s="114">
        <f t="shared" si="196"/>
        <v>-64.414812434733719</v>
      </c>
      <c r="T175" s="103">
        <v>33681</v>
      </c>
      <c r="U175" s="103">
        <v>14635</v>
      </c>
      <c r="V175" s="114">
        <f t="shared" si="197"/>
        <v>-56.548202250527005</v>
      </c>
      <c r="W175" s="115">
        <f>(U175/U$182)*100</f>
        <v>3.2008160495281178E-2</v>
      </c>
      <c r="X175" s="15">
        <v>51.707497700000019</v>
      </c>
      <c r="Y175" s="15">
        <v>85.367012899999068</v>
      </c>
      <c r="Z175" s="114">
        <f t="shared" si="198"/>
        <v>65.096004829487313</v>
      </c>
      <c r="AA175" s="15">
        <v>261.34168790000001</v>
      </c>
      <c r="AB175" s="15">
        <v>338.4270229</v>
      </c>
      <c r="AC175" s="114">
        <f t="shared" si="199"/>
        <v>29.495996455604121</v>
      </c>
      <c r="AD175" s="115">
        <f>(AB175/AB$182)*100</f>
        <v>6.0910723301416947E-2</v>
      </c>
    </row>
    <row r="176" spans="1:30">
      <c r="A176" s="8"/>
      <c r="B176" s="108" t="s">
        <v>6</v>
      </c>
      <c r="C176" s="15">
        <v>442.54636571499992</v>
      </c>
      <c r="D176" s="11">
        <v>191.20260364599991</v>
      </c>
      <c r="E176" s="114">
        <f t="shared" si="192"/>
        <v>-56.794899143034769</v>
      </c>
      <c r="F176" s="15">
        <v>3863.2701323749998</v>
      </c>
      <c r="G176" s="11">
        <v>805.41300894200003</v>
      </c>
      <c r="H176" s="114">
        <f t="shared" si="193"/>
        <v>-79.152040076295123</v>
      </c>
      <c r="I176" s="115">
        <f>(G176/G$183)*100</f>
        <v>86.299628245343797</v>
      </c>
      <c r="J176" s="103">
        <v>711</v>
      </c>
      <c r="K176" s="103">
        <v>620</v>
      </c>
      <c r="L176" s="114">
        <f t="shared" si="194"/>
        <v>-12.79887482419128</v>
      </c>
      <c r="M176" s="103">
        <v>2639</v>
      </c>
      <c r="N176" s="103">
        <v>3285</v>
      </c>
      <c r="O176" s="114">
        <f t="shared" si="195"/>
        <v>24.478969306555516</v>
      </c>
      <c r="P176" s="115">
        <f>(N176/N$183)*100</f>
        <v>96.447445684086901</v>
      </c>
      <c r="Q176" s="103">
        <v>150257</v>
      </c>
      <c r="R176" s="103">
        <v>359011</v>
      </c>
      <c r="S176" s="114">
        <f t="shared" si="196"/>
        <v>138.93129770992368</v>
      </c>
      <c r="T176" s="103">
        <v>1061287</v>
      </c>
      <c r="U176" s="103">
        <v>973009</v>
      </c>
      <c r="V176" s="114">
        <f t="shared" si="197"/>
        <v>-8.3180138831437684</v>
      </c>
      <c r="W176" s="115">
        <f>(U176/U$183)*100</f>
        <v>48.238421522565012</v>
      </c>
      <c r="X176" s="15">
        <v>-25735.927508700002</v>
      </c>
      <c r="Y176" s="15">
        <v>1650.9395718000001</v>
      </c>
      <c r="Z176" s="114">
        <f t="shared" si="198"/>
        <v>-106.41492159644102</v>
      </c>
      <c r="AA176" s="15">
        <v>23621.352023499996</v>
      </c>
      <c r="AB176" s="15">
        <v>8435.3138264999998</v>
      </c>
      <c r="AC176" s="114">
        <f t="shared" si="199"/>
        <v>-64.289453803880392</v>
      </c>
      <c r="AD176" s="115">
        <f>(AB176/AB$183)*100</f>
        <v>5.8049706772466454</v>
      </c>
    </row>
    <row r="177" spans="1:30">
      <c r="A177" s="8"/>
      <c r="B177" s="108" t="s">
        <v>25</v>
      </c>
      <c r="C177" s="15">
        <v>144.92966849600006</v>
      </c>
      <c r="D177" s="11">
        <v>145.78774787999996</v>
      </c>
      <c r="E177" s="114">
        <f t="shared" si="192"/>
        <v>0.5920660641154889</v>
      </c>
      <c r="F177" s="15">
        <v>279.85602366700004</v>
      </c>
      <c r="G177" s="11">
        <v>660.003002563</v>
      </c>
      <c r="H177" s="114">
        <f t="shared" si="193"/>
        <v>135.83662553153971</v>
      </c>
      <c r="I177" s="115">
        <f>(G177/G$184)*100</f>
        <v>16.957493308948845</v>
      </c>
      <c r="J177" s="103">
        <v>2057</v>
      </c>
      <c r="K177" s="103">
        <v>2600</v>
      </c>
      <c r="L177" s="114">
        <f t="shared" si="194"/>
        <v>26.397666504618378</v>
      </c>
      <c r="M177" s="103">
        <v>8276</v>
      </c>
      <c r="N177" s="103">
        <v>9337</v>
      </c>
      <c r="O177" s="114">
        <f t="shared" si="195"/>
        <v>12.820202996616722</v>
      </c>
      <c r="P177" s="115">
        <f>(N177/N$184)*100</f>
        <v>84.147440519105984</v>
      </c>
      <c r="Q177" s="103">
        <v>1979204</v>
      </c>
      <c r="R177" s="103">
        <v>1907615</v>
      </c>
      <c r="S177" s="114">
        <f t="shared" si="196"/>
        <v>-3.6170601918751175</v>
      </c>
      <c r="T177" s="103">
        <v>9216638</v>
      </c>
      <c r="U177" s="103">
        <v>10716685</v>
      </c>
      <c r="V177" s="114">
        <f t="shared" si="197"/>
        <v>16.275424943455523</v>
      </c>
      <c r="W177" s="115">
        <f>(U177/U$184)*100</f>
        <v>33.857676745379472</v>
      </c>
      <c r="X177" s="15">
        <v>38124.072437800009</v>
      </c>
      <c r="Y177" s="15">
        <v>58471.100288499969</v>
      </c>
      <c r="Z177" s="114">
        <f t="shared" si="198"/>
        <v>53.370551857744054</v>
      </c>
      <c r="AA177" s="15">
        <v>85054.641065400006</v>
      </c>
      <c r="AB177" s="15">
        <v>228050.60848539998</v>
      </c>
      <c r="AC177" s="114">
        <f t="shared" si="199"/>
        <v>168.12247471604502</v>
      </c>
      <c r="AD177" s="115">
        <f>(AB177/AB$184)*100</f>
        <v>22.405604429589115</v>
      </c>
    </row>
    <row r="178" spans="1:30">
      <c r="A178" s="8"/>
      <c r="B178" s="108"/>
      <c r="C178" s="15"/>
      <c r="D178" s="11"/>
      <c r="E178" s="114"/>
      <c r="F178" s="15"/>
      <c r="G178" s="11"/>
      <c r="H178" s="114"/>
      <c r="I178" s="115"/>
      <c r="J178" s="103"/>
      <c r="K178" s="103"/>
      <c r="L178" s="114"/>
      <c r="M178" s="103"/>
      <c r="N178" s="103"/>
      <c r="O178" s="114"/>
      <c r="P178" s="115"/>
      <c r="Q178" s="103"/>
      <c r="R178" s="103"/>
      <c r="S178" s="114"/>
      <c r="T178" s="103"/>
      <c r="U178" s="103"/>
      <c r="V178" s="114"/>
      <c r="W178" s="115"/>
      <c r="X178" s="15"/>
      <c r="Y178" s="15"/>
      <c r="Z178" s="114"/>
      <c r="AA178" s="15"/>
      <c r="AB178" s="15"/>
      <c r="AC178" s="114"/>
      <c r="AD178" s="115"/>
    </row>
    <row r="179" spans="1:30" s="24" customFormat="1" ht="15">
      <c r="A179" s="21"/>
      <c r="B179" s="107" t="s">
        <v>11</v>
      </c>
      <c r="C179" s="12">
        <f>C180+C181+C182+C183+C184</f>
        <v>25366.321138740186</v>
      </c>
      <c r="D179" s="12">
        <f>D180+D181+D182+D183+D184</f>
        <v>31001.17110006835</v>
      </c>
      <c r="E179" s="110">
        <f t="shared" ref="E179:E184" si="200">((D179-C179)/C179)*100</f>
        <v>22.21390295624089</v>
      </c>
      <c r="F179" s="12">
        <f>F180+F181+F182+F183+F184</f>
        <v>124727.64852148901</v>
      </c>
      <c r="G179" s="12">
        <f>G180+G181+G182+G183+G184</f>
        <v>131981.89072802267</v>
      </c>
      <c r="H179" s="110">
        <f t="shared" ref="H179:H184" si="201">((G179-F179)/F179)*100</f>
        <v>5.8160658783556256</v>
      </c>
      <c r="I179" s="111">
        <f>(G179/G$179)*100</f>
        <v>100</v>
      </c>
      <c r="J179" s="22">
        <f>J180+J181+J182+J183+J184</f>
        <v>2290738</v>
      </c>
      <c r="K179" s="22">
        <f>K180+K181+K182+K183+K184</f>
        <v>2446904</v>
      </c>
      <c r="L179" s="110">
        <f t="shared" ref="L179:L184" si="202">((K179-J179)/J179)*100</f>
        <v>6.8172789729772667</v>
      </c>
      <c r="M179" s="22">
        <f>M180+M181+M182+M183+M184</f>
        <v>9085610</v>
      </c>
      <c r="N179" s="22">
        <f>N180+N181+N182+N183+N184</f>
        <v>10396248</v>
      </c>
      <c r="O179" s="110">
        <f t="shared" ref="O179:O184" si="203">((N179-M179)/M179)*100</f>
        <v>14.425426581154156</v>
      </c>
      <c r="P179" s="111">
        <f>(N179/N$179)*100</f>
        <v>100</v>
      </c>
      <c r="Q179" s="22">
        <f>Q180+Q181+Q182+Q183+Q184</f>
        <v>12487731</v>
      </c>
      <c r="R179" s="22">
        <f>R180+R181+R182+R183+R184</f>
        <v>18427711</v>
      </c>
      <c r="S179" s="110">
        <f t="shared" ref="S179:S184" si="204">((R179-Q179)/Q179)*100</f>
        <v>47.566527498069902</v>
      </c>
      <c r="T179" s="22">
        <f>T180+T181+T182+T183+T184</f>
        <v>54513394</v>
      </c>
      <c r="U179" s="22">
        <f>U180+U181+U182+U183+U184</f>
        <v>79391955</v>
      </c>
      <c r="V179" s="110">
        <f t="shared" ref="V179:V184" si="205">((U179-T179)/T179)*100</f>
        <v>45.637519835950776</v>
      </c>
      <c r="W179" s="111">
        <f>(U179/U$179)*100</f>
        <v>100</v>
      </c>
      <c r="X179" s="12">
        <f>X180+X181+X182+X183+X184</f>
        <v>361684.4415820674</v>
      </c>
      <c r="Y179" s="12">
        <f>Y180+Y181+Y182+Y183+Y184</f>
        <v>496803.8139581437</v>
      </c>
      <c r="Z179" s="110">
        <f t="shared" ref="Z179:Z184" si="206">((Y179-X179)/X179)*100</f>
        <v>37.358359067103322</v>
      </c>
      <c r="AA179" s="12">
        <f>AA180+AA181+AA182+AA183+AA184</f>
        <v>2001784.5158133865</v>
      </c>
      <c r="AB179" s="12">
        <f>AB180+AB181+AB182+AB183+AB184</f>
        <v>2550349.2664415832</v>
      </c>
      <c r="AC179" s="110">
        <f t="shared" ref="AC179:AC184" si="207">((AB179-AA179)/AA179)*100</f>
        <v>27.403786286422438</v>
      </c>
      <c r="AD179" s="111">
        <f>(AB179/AB$179)*100</f>
        <v>100</v>
      </c>
    </row>
    <row r="180" spans="1:30">
      <c r="A180" s="8"/>
      <c r="B180" s="108" t="s">
        <v>3</v>
      </c>
      <c r="C180" s="11">
        <f>C166+C173</f>
        <v>3873.9418123059995</v>
      </c>
      <c r="D180" s="11">
        <f>D166+D173</f>
        <v>3973.9769763779418</v>
      </c>
      <c r="E180" s="114">
        <f t="shared" si="200"/>
        <v>2.5822577859628573</v>
      </c>
      <c r="F180" s="11">
        <f>F166+F173</f>
        <v>20494.017559442258</v>
      </c>
      <c r="G180" s="11">
        <f>G166+G173</f>
        <v>17380.840668363275</v>
      </c>
      <c r="H180" s="114">
        <f t="shared" si="201"/>
        <v>-15.190661772633456</v>
      </c>
      <c r="I180" s="115">
        <f>(G180/G$180)*100</f>
        <v>100</v>
      </c>
      <c r="J180" s="14">
        <f>J166+J173</f>
        <v>111722</v>
      </c>
      <c r="K180" s="14">
        <f>K166+K173</f>
        <v>117536</v>
      </c>
      <c r="L180" s="114">
        <f t="shared" si="202"/>
        <v>5.2039884713843287</v>
      </c>
      <c r="M180" s="14">
        <f>M166+M173</f>
        <v>504476</v>
      </c>
      <c r="N180" s="14">
        <f>N166+N173</f>
        <v>507328</v>
      </c>
      <c r="O180" s="114">
        <f t="shared" si="203"/>
        <v>0.56533908451541792</v>
      </c>
      <c r="P180" s="115">
        <f>(N180/N$180)*100</f>
        <v>100</v>
      </c>
      <c r="Q180" s="14">
        <f>Q166+Q173</f>
        <v>0</v>
      </c>
      <c r="R180" s="14">
        <f>R166+R173</f>
        <v>0</v>
      </c>
      <c r="S180" s="106" t="s">
        <v>57</v>
      </c>
      <c r="T180" s="14">
        <f>T166+T173</f>
        <v>0</v>
      </c>
      <c r="U180" s="14">
        <f>U166+U173</f>
        <v>0</v>
      </c>
      <c r="V180" s="106" t="s">
        <v>57</v>
      </c>
      <c r="W180" s="106" t="s">
        <v>57</v>
      </c>
      <c r="X180" s="11">
        <f>X166+X173</f>
        <v>3666.8799663599966</v>
      </c>
      <c r="Y180" s="11">
        <f>Y166+Y173</f>
        <v>4410.4213122830006</v>
      </c>
      <c r="Z180" s="114">
        <f t="shared" si="206"/>
        <v>20.277220763817244</v>
      </c>
      <c r="AA180" s="11">
        <f>AA166+AA173</f>
        <v>15825.253110659996</v>
      </c>
      <c r="AB180" s="11">
        <f>AB166+AB173</f>
        <v>18532.615713288997</v>
      </c>
      <c r="AC180" s="114">
        <f t="shared" si="207"/>
        <v>17.107862880280269</v>
      </c>
      <c r="AD180" s="115">
        <f>(AB180/AB$180)*100</f>
        <v>100</v>
      </c>
    </row>
    <row r="181" spans="1:30">
      <c r="A181" s="8"/>
      <c r="B181" s="108" t="s">
        <v>4</v>
      </c>
      <c r="C181" s="11">
        <f t="shared" ref="C181:D184" si="208">C167+C174</f>
        <v>5665.7024814496144</v>
      </c>
      <c r="D181" s="11">
        <f t="shared" si="208"/>
        <v>7481.4114498807949</v>
      </c>
      <c r="E181" s="114">
        <f t="shared" si="200"/>
        <v>32.04737584396802</v>
      </c>
      <c r="F181" s="11">
        <f t="shared" ref="F181:G184" si="209">F167+F174</f>
        <v>26345.242621539153</v>
      </c>
      <c r="G181" s="11">
        <f t="shared" si="209"/>
        <v>32209.401948652412</v>
      </c>
      <c r="H181" s="114">
        <f t="shared" si="201"/>
        <v>22.258892853462971</v>
      </c>
      <c r="I181" s="115">
        <f>(G181/G$181)*100</f>
        <v>100</v>
      </c>
      <c r="J181" s="14">
        <f t="shared" ref="J181:K184" si="210">J167+J174</f>
        <v>2175569</v>
      </c>
      <c r="K181" s="14">
        <f t="shared" si="210"/>
        <v>2325874</v>
      </c>
      <c r="L181" s="114">
        <f t="shared" si="202"/>
        <v>6.9087673155850267</v>
      </c>
      <c r="M181" s="14">
        <f t="shared" ref="M181:N184" si="211">M167+M174</f>
        <v>8566445</v>
      </c>
      <c r="N181" s="14">
        <f t="shared" si="211"/>
        <v>9873832</v>
      </c>
      <c r="O181" s="114">
        <f t="shared" si="203"/>
        <v>15.261721752722396</v>
      </c>
      <c r="P181" s="115">
        <f>(N181/N$181)*100</f>
        <v>100</v>
      </c>
      <c r="Q181" s="14">
        <f t="shared" ref="Q181:R184" si="212">Q167+Q174</f>
        <v>0</v>
      </c>
      <c r="R181" s="14">
        <f t="shared" si="212"/>
        <v>0</v>
      </c>
      <c r="S181" s="106" t="s">
        <v>57</v>
      </c>
      <c r="T181" s="14">
        <f t="shared" ref="T181:U184" si="213">T167+T174</f>
        <v>0</v>
      </c>
      <c r="U181" s="14">
        <f t="shared" si="213"/>
        <v>0</v>
      </c>
      <c r="V181" s="106" t="s">
        <v>57</v>
      </c>
      <c r="W181" s="106" t="s">
        <v>57</v>
      </c>
      <c r="X181" s="11">
        <f t="shared" ref="X181:Y184" si="214">X167+X174</f>
        <v>153651.60278965969</v>
      </c>
      <c r="Y181" s="11">
        <f t="shared" si="214"/>
        <v>166163.43751590146</v>
      </c>
      <c r="Z181" s="114">
        <f t="shared" si="206"/>
        <v>8.1429900496187848</v>
      </c>
      <c r="AA181" s="11">
        <f t="shared" ref="AA181:AB184" si="215">AA167+AA174</f>
        <v>832074.71700053522</v>
      </c>
      <c r="AB181" s="11">
        <f t="shared" si="215"/>
        <v>813064.75961441966</v>
      </c>
      <c r="AC181" s="114">
        <f t="shared" si="207"/>
        <v>-2.2846454768680755</v>
      </c>
      <c r="AD181" s="115">
        <f>(AB181/AB$181)*100</f>
        <v>100</v>
      </c>
    </row>
    <row r="182" spans="1:30">
      <c r="A182" s="8"/>
      <c r="B182" s="108" t="s">
        <v>5</v>
      </c>
      <c r="C182" s="11">
        <f t="shared" si="208"/>
        <v>14521.364243739463</v>
      </c>
      <c r="D182" s="11">
        <f t="shared" si="208"/>
        <v>18460.978854852121</v>
      </c>
      <c r="E182" s="114">
        <f t="shared" si="200"/>
        <v>27.129783021668423</v>
      </c>
      <c r="F182" s="11">
        <f t="shared" si="209"/>
        <v>71302.904634989784</v>
      </c>
      <c r="G182" s="11">
        <f t="shared" si="209"/>
        <v>77566.270542026177</v>
      </c>
      <c r="H182" s="114">
        <f t="shared" si="201"/>
        <v>8.7841665624976972</v>
      </c>
      <c r="I182" s="115">
        <f>(G182/G$182)*100</f>
        <v>100</v>
      </c>
      <c r="J182" s="14">
        <f t="shared" si="210"/>
        <v>160</v>
      </c>
      <c r="K182" s="14">
        <f t="shared" si="210"/>
        <v>127</v>
      </c>
      <c r="L182" s="114">
        <f t="shared" si="202"/>
        <v>-20.625</v>
      </c>
      <c r="M182" s="14">
        <f t="shared" si="211"/>
        <v>553</v>
      </c>
      <c r="N182" s="14">
        <f t="shared" si="211"/>
        <v>586</v>
      </c>
      <c r="O182" s="114">
        <f t="shared" si="203"/>
        <v>5.9674502712477393</v>
      </c>
      <c r="P182" s="115">
        <f>(N182/N$182)*100</f>
        <v>100</v>
      </c>
      <c r="Q182" s="14">
        <f t="shared" si="212"/>
        <v>6244551</v>
      </c>
      <c r="R182" s="14">
        <f t="shared" si="212"/>
        <v>11912550</v>
      </c>
      <c r="S182" s="114">
        <f t="shared" si="204"/>
        <v>90.767118404509787</v>
      </c>
      <c r="T182" s="14">
        <f t="shared" si="213"/>
        <v>21395065</v>
      </c>
      <c r="U182" s="14">
        <f t="shared" si="213"/>
        <v>45722715</v>
      </c>
      <c r="V182" s="114">
        <f t="shared" si="205"/>
        <v>113.70682912157545</v>
      </c>
      <c r="W182" s="115">
        <f>(U182/U$182)*100</f>
        <v>100</v>
      </c>
      <c r="X182" s="11">
        <f t="shared" si="214"/>
        <v>52918.43689231691</v>
      </c>
      <c r="Y182" s="11">
        <f t="shared" si="214"/>
        <v>121057.48416194602</v>
      </c>
      <c r="Z182" s="114">
        <f t="shared" si="206"/>
        <v>128.76239600252072</v>
      </c>
      <c r="AA182" s="11">
        <f t="shared" si="215"/>
        <v>259165.43166225567</v>
      </c>
      <c r="AB182" s="11">
        <f t="shared" si="215"/>
        <v>555611.56485581782</v>
      </c>
      <c r="AC182" s="114">
        <f t="shared" si="207"/>
        <v>114.38490515196899</v>
      </c>
      <c r="AD182" s="115">
        <f>(AB182/AB$182)*100</f>
        <v>100</v>
      </c>
    </row>
    <row r="183" spans="1:30">
      <c r="A183" s="8"/>
      <c r="B183" s="108" t="s">
        <v>6</v>
      </c>
      <c r="C183" s="11">
        <f t="shared" si="208"/>
        <v>456.03317733299991</v>
      </c>
      <c r="D183" s="11">
        <f t="shared" si="208"/>
        <v>209.49637620789991</v>
      </c>
      <c r="E183" s="114">
        <f t="shared" si="200"/>
        <v>-54.06115462188761</v>
      </c>
      <c r="F183" s="11">
        <f t="shared" si="209"/>
        <v>3925.1259377535298</v>
      </c>
      <c r="G183" s="11">
        <f t="shared" si="209"/>
        <v>933.27517779366008</v>
      </c>
      <c r="H183" s="114">
        <f t="shared" si="201"/>
        <v>-76.223051372262404</v>
      </c>
      <c r="I183" s="115">
        <f>(G183/G$183)*100</f>
        <v>100</v>
      </c>
      <c r="J183" s="14">
        <f t="shared" si="210"/>
        <v>755</v>
      </c>
      <c r="K183" s="14">
        <f t="shared" si="210"/>
        <v>632</v>
      </c>
      <c r="L183" s="114">
        <f t="shared" si="202"/>
        <v>-16.29139072847682</v>
      </c>
      <c r="M183" s="14">
        <f t="shared" si="211"/>
        <v>2785</v>
      </c>
      <c r="N183" s="14">
        <f t="shared" si="211"/>
        <v>3406</v>
      </c>
      <c r="O183" s="114">
        <f t="shared" si="203"/>
        <v>22.298025134649908</v>
      </c>
      <c r="P183" s="115">
        <f>(N183/N$183)*100</f>
        <v>100</v>
      </c>
      <c r="Q183" s="14">
        <f t="shared" si="212"/>
        <v>250980</v>
      </c>
      <c r="R183" s="14">
        <f t="shared" si="212"/>
        <v>437578</v>
      </c>
      <c r="S183" s="114">
        <f t="shared" si="204"/>
        <v>74.347756793369996</v>
      </c>
      <c r="T183" s="14">
        <f t="shared" si="213"/>
        <v>1389446</v>
      </c>
      <c r="U183" s="14">
        <f t="shared" si="213"/>
        <v>2017083</v>
      </c>
      <c r="V183" s="114">
        <f t="shared" si="205"/>
        <v>45.171744709762017</v>
      </c>
      <c r="W183" s="115">
        <f>(U183/U$183)*100</f>
        <v>100</v>
      </c>
      <c r="X183" s="11">
        <f t="shared" si="214"/>
        <v>-19991.094987500001</v>
      </c>
      <c r="Y183" s="11">
        <f t="shared" si="214"/>
        <v>10909.1470723</v>
      </c>
      <c r="Z183" s="114">
        <f t="shared" si="206"/>
        <v>-154.57003270266713</v>
      </c>
      <c r="AA183" s="11">
        <f t="shared" si="215"/>
        <v>53519.111325599995</v>
      </c>
      <c r="AB183" s="11">
        <f t="shared" si="215"/>
        <v>145311.91104139999</v>
      </c>
      <c r="AC183" s="114">
        <f t="shared" si="207"/>
        <v>171.51405814149311</v>
      </c>
      <c r="AD183" s="115">
        <f>(AB183/AB$183)*100</f>
        <v>100</v>
      </c>
    </row>
    <row r="184" spans="1:30">
      <c r="A184" s="8"/>
      <c r="B184" s="108" t="s">
        <v>25</v>
      </c>
      <c r="C184" s="11">
        <f t="shared" si="208"/>
        <v>849.27942391211195</v>
      </c>
      <c r="D184" s="11">
        <f t="shared" si="208"/>
        <v>875.307442749595</v>
      </c>
      <c r="E184" s="114">
        <f t="shared" si="200"/>
        <v>3.0647179367172055</v>
      </c>
      <c r="F184" s="11">
        <f t="shared" si="209"/>
        <v>2660.3577677642907</v>
      </c>
      <c r="G184" s="11">
        <f t="shared" si="209"/>
        <v>3892.1023911871562</v>
      </c>
      <c r="H184" s="114">
        <f t="shared" si="201"/>
        <v>46.299961544570678</v>
      </c>
      <c r="I184" s="115">
        <f>(G184/G$184)*100</f>
        <v>100</v>
      </c>
      <c r="J184" s="14">
        <f t="shared" si="210"/>
        <v>2532</v>
      </c>
      <c r="K184" s="14">
        <f t="shared" si="210"/>
        <v>2735</v>
      </c>
      <c r="L184" s="114">
        <f t="shared" si="202"/>
        <v>8.0173775671406009</v>
      </c>
      <c r="M184" s="14">
        <f t="shared" si="211"/>
        <v>11351</v>
      </c>
      <c r="N184" s="14">
        <f t="shared" si="211"/>
        <v>11096</v>
      </c>
      <c r="O184" s="114">
        <f t="shared" si="203"/>
        <v>-2.2464981058937536</v>
      </c>
      <c r="P184" s="115">
        <f>(N184/N$184)*100</f>
        <v>100</v>
      </c>
      <c r="Q184" s="14">
        <f t="shared" si="212"/>
        <v>5992200</v>
      </c>
      <c r="R184" s="14">
        <f t="shared" si="212"/>
        <v>6077583</v>
      </c>
      <c r="S184" s="114">
        <f t="shared" si="204"/>
        <v>1.4249023730850106</v>
      </c>
      <c r="T184" s="14">
        <f t="shared" si="213"/>
        <v>31728883</v>
      </c>
      <c r="U184" s="14">
        <f t="shared" si="213"/>
        <v>31652157</v>
      </c>
      <c r="V184" s="114">
        <f t="shared" si="205"/>
        <v>-0.24181752632136469</v>
      </c>
      <c r="W184" s="115">
        <f>(U184/U$184)*100</f>
        <v>100</v>
      </c>
      <c r="X184" s="11">
        <f t="shared" si="214"/>
        <v>171438.61692123083</v>
      </c>
      <c r="Y184" s="11">
        <f t="shared" si="214"/>
        <v>194263.3238957132</v>
      </c>
      <c r="Z184" s="114">
        <f t="shared" si="206"/>
        <v>13.313632240144241</v>
      </c>
      <c r="AA184" s="11">
        <f t="shared" si="215"/>
        <v>841200.0027143358</v>
      </c>
      <c r="AB184" s="11">
        <f t="shared" si="215"/>
        <v>1017828.415216657</v>
      </c>
      <c r="AC184" s="114">
        <f t="shared" si="207"/>
        <v>20.997195902566187</v>
      </c>
      <c r="AD184" s="115">
        <f>(AB184/AB$184)*100</f>
        <v>100</v>
      </c>
    </row>
    <row r="185" spans="1:30">
      <c r="A185" s="34" t="s">
        <v>61</v>
      </c>
      <c r="N185" s="27"/>
      <c r="O185" s="27"/>
      <c r="P185" s="27"/>
      <c r="Q185" s="27"/>
    </row>
    <row r="186" spans="1:30">
      <c r="A186" s="34" t="s">
        <v>16</v>
      </c>
    </row>
  </sheetData>
  <mergeCells count="8"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FYP as at 31st March, 2018_TEMP</vt:lpstr>
      <vt:lpstr>Authority Vs Life Council</vt:lpstr>
      <vt:lpstr>FYP as at 30th September' 2021</vt:lpstr>
      <vt:lpstr>'FYP as at 31st March, 2018_TEMP'!Print_Area</vt:lpstr>
      <vt:lpstr>'FYP as at 30th September'' 2021'!Print_Titles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SastryBHSN</cp:lastModifiedBy>
  <cp:lastPrinted>2021-08-06T18:25:27Z</cp:lastPrinted>
  <dcterms:created xsi:type="dcterms:W3CDTF">2002-04-18T04:47:59Z</dcterms:created>
  <dcterms:modified xsi:type="dcterms:W3CDTF">2021-10-12T06:07:12Z</dcterms:modified>
</cp:coreProperties>
</file>