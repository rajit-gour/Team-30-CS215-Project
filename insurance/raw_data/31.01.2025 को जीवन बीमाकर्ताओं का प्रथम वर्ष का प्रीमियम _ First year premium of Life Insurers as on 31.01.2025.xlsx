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bookViews>
    <workbookView xWindow="0" yWindow="0" windowWidth="28800" windowHeight="9510" tabRatio="779" firstSheet="2" activeTab="2"/>
  </bookViews>
  <sheets>
    <sheet name="FYP as at 31st March, 2018_TEMP" sheetId="40" state="hidden" r:id="rId1"/>
    <sheet name="Authority Vs Life Council" sheetId="30" state="hidden" r:id="rId2"/>
    <sheet name="as at 31st Jan 2025" sheetId="41" r:id="rId3"/>
    <sheet name="हिंदी संस्करण" sheetId="42" r:id="rId4"/>
  </sheets>
  <definedNames>
    <definedName name="_xlnm.Print_Area" localSheetId="2">'as at 31st Jan 2025'!$A$1:$AD$191</definedName>
    <definedName name="_xlnm.Print_Area" localSheetId="0">'FYP as at 31st March, 2018_TEMP'!$A$1:$J$31</definedName>
    <definedName name="_xlnm.Print_Titles" localSheetId="2">'as at 31st Jan 2025'!$A:$B,'as at 31st Jan 2025'!$1:$3</definedName>
    <definedName name="_xlnm.Print_Titles" localSheetId="0">'FYP as at 31st March, 2018_TEMP'!$A:$B,'FYP as at 31st March, 2018_TEMP'!$1:$3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3" i="30" l="1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N191" i="30" s="1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I196" i="30" l="1"/>
  <c r="E195" i="30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H210" i="30"/>
  <c r="H209" i="30"/>
  <c r="K210" i="30"/>
  <c r="N209" i="30"/>
  <c r="K207" i="30"/>
  <c r="K211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H196" i="30" l="1"/>
  <c r="E196" i="30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<sst xmlns="http://schemas.openxmlformats.org/spreadsheetml/2006/main" count="1393" uniqueCount="128">
  <si>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</si>
  <si>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</si>
  <si>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</si>
  <si>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</si>
  <si>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</si>
  <si>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</si>
  <si>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</si>
  <si>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</si>
  <si>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</si>
  <si>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</si>
  <si>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</si>
  <si>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</si>
  <si>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</si>
  <si>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</si>
  <si>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</si>
  <si>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</si>
  <si>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</si>
  <si>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</si>
  <si>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</si>
  <si>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</si>
  <si>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</si>
  <si>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</si>
  <si>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</si>
  <si>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</si>
  <si>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</si>
  <si>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</si>
  <si>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</si>
  <si>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</si>
  <si>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</si>
  <si>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</si>
  <si>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</si>
  <si>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</si>
  <si>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</si>
  <si>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</si>
  <si>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</si>
  <si>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</si>
  <si>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</si>
  <si>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</si>
  <si>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</si>
  <si>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</si>
  <si>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</si>
  <si>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</si>
  <si>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</si>
  <si>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</si>
  <si>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</si>
  <si>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</si>
  <si>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</si>
  <si>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</si>
  <si>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</si>
  <si>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</si>
  <si>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</si>
  <si>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</si>
  <si>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</si>
  <si>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</si>
  <si>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</si>
  <si>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</si>
  <si>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</si>
  <si>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Pramerica Life</t>
  </si>
  <si>
    <t>Edelweiss Tokio Life</t>
  </si>
  <si>
    <t xml:space="preserve">Star Union Dai-ichi Life </t>
  </si>
  <si>
    <t xml:space="preserve">First Year Premium  </t>
  </si>
  <si>
    <t>HDFC  Life</t>
  </si>
  <si>
    <t>CreditAccess Life</t>
  </si>
  <si>
    <t>Go Digit Life</t>
  </si>
  <si>
    <t>Ageas Federal Life</t>
  </si>
  <si>
    <t>Acko Life Insurance</t>
  </si>
  <si>
    <t>Compiled on the basis of data submitted by the Insurance companies</t>
  </si>
  <si>
    <t>The First year Premium in the statement refers to actual premuim collected by life insurers net of only free look cancellations for the period.</t>
  </si>
  <si>
    <t xml:space="preserve">Note: 1  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</si>
  <si>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</si>
  <si>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</si>
  <si>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</si>
  <si>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</si>
  <si>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</si>
  <si>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</si>
  <si>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</si>
  <si>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</si>
  <si>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</si>
  <si>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आदित्य बिरला सन लाइफ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</si>
  <si>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</si>
  <si>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</si>
  <si>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</si>
  <si>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</si>
  <si>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</si>
  <si>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एको लाइफ</t>
  </si>
  <si>
    <t>एगस फेडरल लाइफ</t>
  </si>
  <si>
    <t>अवीवा लाइफ</t>
  </si>
  <si>
    <t>बजाज आल्लियांज़ लाइफ</t>
  </si>
  <si>
    <t>भारती आक्सा लाइफ</t>
  </si>
  <si>
    <t>केनरा एचएसबीसी लाइफ</t>
  </si>
  <si>
    <t>क्रेडिट एक्सेस लाइफ</t>
  </si>
  <si>
    <t>एडेलवेइस्स टोकिओ लाइफ</t>
  </si>
  <si>
    <t>फ्यूचर जनराली लाइफ</t>
  </si>
  <si>
    <t>गो डिजिट लाइफ</t>
  </si>
  <si>
    <t>एचडीएफसी लाइफ</t>
  </si>
  <si>
    <t>आइ सी आइ सी आइ प्रुडेन्षियल लाइफ</t>
  </si>
  <si>
    <t xml:space="preserve">इंडिया फर्स्ट लाइफ </t>
  </si>
  <si>
    <t>कोटक महिन्द्रा लाइफ</t>
  </si>
  <si>
    <t>मॅक्स लाइफ</t>
  </si>
  <si>
    <t>पी एन बी मेट लाइफ</t>
  </si>
  <si>
    <t xml:space="preserve">प्रामेरिका लाइफ </t>
  </si>
  <si>
    <t>रिलायंस निप्पॉन लाइफ</t>
  </si>
  <si>
    <t>एस बी आइ लाइफ</t>
  </si>
  <si>
    <t>श्रीराम लाइफ</t>
  </si>
  <si>
    <t xml:space="preserve">स्टार यूनियन दाई ईछी लाइफ </t>
  </si>
  <si>
    <t>टाटा ए आइ ए लाइफ</t>
  </si>
  <si>
    <t>निजी कुल</t>
  </si>
  <si>
    <t>एल आइ सी</t>
  </si>
  <si>
    <t>कुल योग</t>
  </si>
  <si>
    <t xml:space="preserve"> नोट:    1. 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</si>
  <si>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 xml:space="preserve">           2. बीमा कंपनियों द्वारा प्रस्तुत आंकड़ों के आधार पर संकलित</t>
  </si>
  <si>
    <t>Canara HSBC Life</t>
  </si>
  <si>
    <t>Bandhan Life</t>
  </si>
  <si>
    <t>Aegon life Insurance Company limited has been changed to Bandhan Life Insurance Limited with effect from 05.04.2024</t>
  </si>
  <si>
    <t xml:space="preserve">
बंधन जीवन</t>
  </si>
  <si>
    <t>एगॉन लाइफ इंश्योरेंस कंपनी लिमिटेड को 05.04.2024 से बंधन लाइफ इंश्योरेंस लिमिटेड में बदल दिया गया है</t>
  </si>
  <si>
    <t>For January,2024</t>
  </si>
  <si>
    <t>For January,2025</t>
  </si>
  <si>
    <t>Up to 31st January,2025</t>
  </si>
  <si>
    <t>Up to 31st January, 2024</t>
  </si>
  <si>
    <t>For January, 2024</t>
  </si>
  <si>
    <t>जनवरी 2025 माह के लिये</t>
  </si>
  <si>
    <t>जनवरी 2025 तक</t>
  </si>
  <si>
    <t>जनवरी 2024 माह के लिये</t>
  </si>
  <si>
    <t>जनवरी 2024 तक</t>
  </si>
  <si>
    <t>31 जनवरी  2025 माह जीवन बीमा कंपनियोंका प्रथम वार्षिक प्रीमियम</t>
  </si>
  <si>
    <t/>
  </si>
  <si>
    <t>New Business Statement of Life Insurers for the Period ended 31st January,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</si>
</sst>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0.000000"/>
  </numFmts>
  <fonts count="2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187">
    <xf numFmtId="0" fontId="0" fillId="0" borderId="0" xfId="0"/>
    <xf numFmtId="0" fontId="6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2" fontId="6" fillId="2" borderId="1" xfId="0" applyNumberFormat="1" applyFont="1" applyFill="1" applyBorder="1"/>
    <xf numFmtId="0" fontId="7" fillId="2" borderId="0" xfId="0" applyFont="1" applyFill="1"/>
    <xf numFmtId="0" fontId="8" fillId="2" borderId="1" xfId="0" applyFont="1" applyFill="1" applyBorder="1" applyAlignment="1">
      <alignment horizontal="left" vertical="center"/>
    </xf>
    <xf numFmtId="2" fontId="7" fillId="2" borderId="1" xfId="0" applyNumberFormat="1" applyFont="1" applyFill="1" applyBorder="1"/>
    <xf numFmtId="0" fontId="6" fillId="2" borderId="0" xfId="8" applyFont="1" applyFill="1"/>
    <xf numFmtId="2" fontId="6" fillId="0" borderId="1" xfId="0" applyNumberFormat="1" applyFont="1" applyFill="1" applyBorder="1"/>
    <xf numFmtId="2" fontId="7" fillId="0" borderId="1" xfId="0" applyNumberFormat="1" applyFont="1" applyFill="1" applyBorder="1"/>
    <xf numFmtId="2" fontId="9" fillId="2" borderId="1" xfId="0" applyNumberFormat="1" applyFont="1" applyFill="1" applyBorder="1"/>
    <xf numFmtId="1" fontId="6" fillId="0" borderId="1" xfId="0" applyNumberFormat="1" applyFont="1" applyFill="1" applyBorder="1"/>
    <xf numFmtId="2" fontId="9" fillId="0" borderId="1" xfId="0" applyNumberFormat="1" applyFont="1" applyFill="1" applyBorder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wrapText="1"/>
    </xf>
    <xf numFmtId="0" fontId="7" fillId="2" borderId="1" xfId="8" applyFont="1" applyFill="1" applyBorder="1" applyAlignment="1">
      <alignment horizontal="center"/>
    </xf>
    <xf numFmtId="0" fontId="7" fillId="2" borderId="0" xfId="0" applyFont="1" applyFill="1" applyBorder="1"/>
    <xf numFmtId="0" fontId="7" fillId="2" borderId="1" xfId="0" applyFont="1" applyFill="1" applyBorder="1"/>
    <xf numFmtId="1" fontId="7" fillId="0" borderId="1" xfId="0" applyNumberFormat="1" applyFont="1" applyFill="1" applyBorder="1"/>
    <xf numFmtId="0" fontId="7" fillId="0" borderId="0" xfId="0" applyFont="1" applyFill="1"/>
    <xf numFmtId="0" fontId="6" fillId="0" borderId="0" xfId="0" applyFont="1" applyFill="1"/>
    <xf numFmtId="0" fontId="6" fillId="0" borderId="0" xfId="0" applyFont="1" applyFill="1" applyBorder="1"/>
    <xf numFmtId="0" fontId="11" fillId="0" borderId="0" xfId="0" applyFont="1"/>
    <xf numFmtId="0" fontId="10" fillId="0" borderId="3" xfId="0" quotePrefix="1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0" fillId="0" borderId="1" xfId="0" quotePrefix="1" applyFont="1" applyBorder="1" applyAlignment="1">
      <alignment horizontal="left" vertical="center" wrapText="1"/>
    </xf>
    <xf numFmtId="0" fontId="10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 vertical="center"/>
    </xf>
    <xf numFmtId="2" fontId="10" fillId="2" borderId="1" xfId="0" applyNumberFormat="1" applyFont="1" applyFill="1" applyBorder="1" applyAlignment="1">
      <alignment horizontal="right" vertical="center"/>
    </xf>
    <xf numFmtId="0" fontId="10" fillId="0" borderId="1" xfId="0" applyFont="1" applyBorder="1"/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/>
    <xf numFmtId="0" fontId="12" fillId="3" borderId="1" xfId="0" applyFont="1" applyFill="1" applyBorder="1" applyAlignment="1">
      <alignment horizontal="right" wrapText="1"/>
    </xf>
    <xf numFmtId="2" fontId="11" fillId="0" borderId="1" xfId="0" applyNumberFormat="1" applyFont="1" applyBorder="1"/>
    <xf numFmtId="2" fontId="13" fillId="0" borderId="1" xfId="0" applyNumberFormat="1" applyFont="1" applyBorder="1"/>
    <xf numFmtId="2" fontId="11" fillId="2" borderId="1" xfId="0" applyNumberFormat="1" applyFont="1" applyFill="1" applyBorder="1"/>
    <xf numFmtId="1" fontId="11" fillId="0" borderId="1" xfId="0" applyNumberFormat="1" applyFont="1" applyBorder="1"/>
    <xf numFmtId="1" fontId="13" fillId="0" borderId="1" xfId="0" applyNumberFormat="1" applyFont="1" applyBorder="1"/>
    <xf numFmtId="1" fontId="11" fillId="2" borderId="1" xfId="0" applyNumberFormat="1" applyFont="1" applyFill="1" applyBorder="1"/>
    <xf numFmtId="0" fontId="10" fillId="2" borderId="1" xfId="0" applyFont="1" applyFill="1" applyBorder="1"/>
    <xf numFmtId="0" fontId="14" fillId="3" borderId="1" xfId="0" applyFont="1" applyFill="1" applyBorder="1" applyAlignment="1">
      <alignment horizontal="right" wrapText="1"/>
    </xf>
    <xf numFmtId="2" fontId="14" fillId="3" borderId="1" xfId="0" applyNumberFormat="1" applyFont="1" applyFill="1" applyBorder="1" applyAlignment="1">
      <alignment horizontal="right" wrapText="1"/>
    </xf>
    <xf numFmtId="2" fontId="15" fillId="0" borderId="1" xfId="0" applyNumberFormat="1" applyFont="1" applyBorder="1"/>
    <xf numFmtId="1" fontId="14" fillId="3" borderId="1" xfId="0" applyNumberFormat="1" applyFont="1" applyFill="1" applyBorder="1" applyAlignment="1">
      <alignment horizontal="right" wrapText="1"/>
    </xf>
    <xf numFmtId="1" fontId="15" fillId="0" borderId="1" xfId="0" applyNumberFormat="1" applyFont="1" applyBorder="1"/>
    <xf numFmtId="2" fontId="15" fillId="2" borderId="1" xfId="0" applyNumberFormat="1" applyFont="1" applyFill="1" applyBorder="1" applyAlignment="1">
      <alignment horizontal="right" vertical="center"/>
    </xf>
    <xf numFmtId="1" fontId="15" fillId="2" borderId="1" xfId="0" applyNumberFormat="1" applyFont="1" applyFill="1" applyBorder="1" applyAlignment="1">
      <alignment horizontal="right" vertical="center"/>
    </xf>
    <xf numFmtId="2" fontId="11" fillId="2" borderId="1" xfId="0" applyNumberFormat="1" applyFont="1" applyFill="1" applyBorder="1" applyAlignment="1">
      <alignment horizontal="right" vertical="center"/>
    </xf>
    <xf numFmtId="1" fontId="11" fillId="2" borderId="1" xfId="0" applyNumberFormat="1" applyFont="1" applyFill="1" applyBorder="1" applyAlignment="1">
      <alignment horizontal="right" vertical="center"/>
    </xf>
    <xf numFmtId="2" fontId="11" fillId="0" borderId="1" xfId="1" applyNumberFormat="1" applyFont="1" applyBorder="1"/>
    <xf numFmtId="1" fontId="11" fillId="0" borderId="1" xfId="1" applyNumberFormat="1" applyFont="1" applyBorder="1"/>
    <xf numFmtId="2" fontId="13" fillId="0" borderId="1" xfId="1" applyNumberFormat="1" applyFont="1" applyBorder="1"/>
    <xf numFmtId="1" fontId="13" fillId="0" borderId="1" xfId="1" applyNumberFormat="1" applyFont="1" applyBorder="1"/>
    <xf numFmtId="2" fontId="11" fillId="2" borderId="1" xfId="1" applyNumberFormat="1" applyFont="1" applyFill="1" applyBorder="1"/>
    <xf numFmtId="1" fontId="11" fillId="2" borderId="1" xfId="1" applyNumberFormat="1" applyFont="1" applyFill="1" applyBorder="1"/>
    <xf numFmtId="2" fontId="11" fillId="0" borderId="1" xfId="0" applyNumberFormat="1" applyFont="1" applyBorder="1" applyAlignment="1">
      <alignment horizontal="right"/>
    </xf>
    <xf numFmtId="1" fontId="11" fillId="0" borderId="1" xfId="0" applyNumberFormat="1" applyFont="1" applyBorder="1" applyAlignment="1">
      <alignment horizontal="right"/>
    </xf>
    <xf numFmtId="2" fontId="11" fillId="0" borderId="1" xfId="0" applyNumberFormat="1" applyFont="1" applyFill="1" applyBorder="1"/>
    <xf numFmtId="1" fontId="11" fillId="0" borderId="1" xfId="0" applyNumberFormat="1" applyFont="1" applyFill="1" applyBorder="1"/>
    <xf numFmtId="0" fontId="10" fillId="0" borderId="0" xfId="0" applyFont="1" applyFill="1"/>
    <xf numFmtId="2" fontId="11" fillId="0" borderId="1" xfId="1" applyNumberFormat="1" applyFont="1" applyFill="1" applyBorder="1"/>
    <xf numFmtId="1" fontId="11" fillId="0" borderId="1" xfId="1" applyNumberFormat="1" applyFont="1" applyFill="1" applyBorder="1"/>
    <xf numFmtId="0" fontId="11" fillId="0" borderId="0" xfId="0" applyFont="1" applyFill="1"/>
    <xf numFmtId="2" fontId="11" fillId="2" borderId="1" xfId="0" applyNumberFormat="1" applyFont="1" applyFill="1" applyBorder="1" applyAlignment="1">
      <alignment horizontal="right"/>
    </xf>
    <xf numFmtId="1" fontId="11" fillId="2" borderId="1" xfId="0" applyNumberFormat="1" applyFont="1" applyFill="1" applyBorder="1" applyAlignment="1">
      <alignment horizontal="right"/>
    </xf>
    <xf numFmtId="2" fontId="13" fillId="0" borderId="1" xfId="1" applyNumberFormat="1" applyFont="1" applyFill="1" applyBorder="1"/>
    <xf numFmtId="1" fontId="13" fillId="0" borderId="1" xfId="1" applyNumberFormat="1" applyFont="1" applyFill="1" applyBorder="1"/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wrapText="1"/>
    </xf>
    <xf numFmtId="2" fontId="13" fillId="0" borderId="1" xfId="0" applyNumberFormat="1" applyFont="1" applyFill="1" applyBorder="1"/>
    <xf numFmtId="1" fontId="13" fillId="0" borderId="1" xfId="0" applyNumberFormat="1" applyFont="1" applyFill="1" applyBorder="1"/>
    <xf numFmtId="0" fontId="11" fillId="0" borderId="0" xfId="0" applyFont="1" applyBorder="1"/>
    <xf numFmtId="0" fontId="10" fillId="0" borderId="0" xfId="0" applyFont="1" applyBorder="1"/>
    <xf numFmtId="0" fontId="11" fillId="0" borderId="0" xfId="0" applyFont="1" applyFill="1" applyBorder="1"/>
    <xf numFmtId="0" fontId="10" fillId="2" borderId="1" xfId="8" applyFont="1" applyFill="1" applyBorder="1" applyAlignment="1">
      <alignment horizontal="center"/>
    </xf>
    <xf numFmtId="0" fontId="11" fillId="2" borderId="1" xfId="8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right" wrapText="1"/>
    </xf>
    <xf numFmtId="1" fontId="12" fillId="3" borderId="1" xfId="0" applyNumberFormat="1" applyFont="1" applyFill="1" applyBorder="1" applyAlignment="1">
      <alignment horizontal="right" wrapText="1"/>
    </xf>
    <xf numFmtId="0" fontId="11" fillId="2" borderId="0" xfId="0" applyFont="1" applyFill="1" applyBorder="1"/>
    <xf numFmtId="2" fontId="11" fillId="2" borderId="0" xfId="0" applyNumberFormat="1" applyFont="1" applyFill="1" applyBorder="1"/>
    <xf numFmtId="1" fontId="11" fillId="2" borderId="0" xfId="0" applyNumberFormat="1" applyFont="1" applyFill="1" applyBorder="1"/>
    <xf numFmtId="0" fontId="11" fillId="0" borderId="0" xfId="8" applyFont="1"/>
    <xf numFmtId="0" fontId="16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2" fontId="9" fillId="2" borderId="6" xfId="0" applyNumberFormat="1" applyFont="1" applyFill="1" applyBorder="1"/>
    <xf numFmtId="1" fontId="9" fillId="0" borderId="1" xfId="0" applyNumberFormat="1" applyFont="1" applyFill="1" applyBorder="1"/>
    <xf numFmtId="0" fontId="1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Fill="1" applyBorder="1"/>
    <xf numFmtId="0" fontId="6" fillId="0" borderId="1" xfId="8" applyFont="1" applyFill="1" applyBorder="1"/>
    <xf numFmtId="2" fontId="9" fillId="0" borderId="1" xfId="0" applyNumberFormat="1" applyFont="1" applyFill="1" applyBorder="1" applyAlignment="1">
      <alignment horizontal="right"/>
    </xf>
    <xf numFmtId="2" fontId="7" fillId="0" borderId="0" xfId="0" applyNumberFormat="1" applyFont="1" applyFill="1" applyBorder="1"/>
    <xf numFmtId="1" fontId="7" fillId="0" borderId="0" xfId="0" applyNumberFormat="1" applyFont="1" applyFill="1" applyBorder="1"/>
    <xf numFmtId="2" fontId="9" fillId="0" borderId="0" xfId="0" applyNumberFormat="1" applyFont="1" applyFill="1" applyBorder="1"/>
    <xf numFmtId="1" fontId="9" fillId="0" borderId="0" xfId="0" applyNumberFormat="1" applyFont="1" applyFill="1" applyBorder="1"/>
    <xf numFmtId="2" fontId="7" fillId="0" borderId="1" xfId="0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1" fontId="9" fillId="0" borderId="1" xfId="0" applyNumberFormat="1" applyFont="1" applyFill="1" applyBorder="1" applyAlignment="1">
      <alignment horizontal="right"/>
    </xf>
    <xf numFmtId="2" fontId="6" fillId="0" borderId="1" xfId="0" applyNumberFormat="1" applyFont="1" applyFill="1" applyBorder="1" applyAlignment="1">
      <alignment horizontal="right"/>
    </xf>
    <xf numFmtId="2" fontId="6" fillId="0" borderId="1" xfId="1" applyNumberFormat="1" applyFont="1" applyFill="1" applyBorder="1" applyAlignment="1">
      <alignment horizontal="right"/>
    </xf>
    <xf numFmtId="1" fontId="6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/>
    </xf>
    <xf numFmtId="2" fontId="18" fillId="0" borderId="1" xfId="0" applyNumberFormat="1" applyFont="1" applyFill="1" applyBorder="1" applyAlignment="1">
      <alignment horizontal="right"/>
    </xf>
    <xf numFmtId="9" fontId="7" fillId="0" borderId="0" xfId="0" applyNumberFormat="1" applyFont="1" applyFill="1"/>
    <xf numFmtId="0" fontId="6" fillId="0" borderId="1" xfId="0" applyFont="1" applyFill="1" applyBorder="1" applyAlignment="1">
      <alignment horizontal="center"/>
    </xf>
    <xf numFmtId="2" fontId="19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wrapText="1"/>
    </xf>
    <xf numFmtId="0" fontId="7" fillId="0" borderId="0" xfId="0" applyFont="1" applyFill="1" applyBorder="1"/>
    <xf numFmtId="0" fontId="9" fillId="0" borderId="1" xfId="0" applyFont="1" applyFill="1" applyBorder="1" applyAlignment="1">
      <alignment horizontal="center"/>
    </xf>
    <xf numFmtId="0" fontId="9" fillId="0" borderId="0" xfId="0" applyFont="1" applyFill="1" applyBorder="1"/>
    <xf numFmtId="2" fontId="22" fillId="0" borderId="0" xfId="0" applyNumberFormat="1" applyFont="1" applyFill="1" applyBorder="1" applyAlignment="1">
      <alignment horizontal="right"/>
    </xf>
    <xf numFmtId="2" fontId="18" fillId="0" borderId="0" xfId="0" applyNumberFormat="1" applyFont="1" applyFill="1" applyBorder="1"/>
    <xf numFmtId="2" fontId="19" fillId="0" borderId="0" xfId="0" applyNumberFormat="1" applyFont="1" applyFill="1" applyBorder="1" applyAlignment="1">
      <alignment horizontal="right"/>
    </xf>
    <xf numFmtId="2" fontId="19" fillId="0" borderId="0" xfId="0" applyNumberFormat="1" applyFont="1" applyFill="1" applyBorder="1"/>
    <xf numFmtId="0" fontId="7" fillId="0" borderId="1" xfId="8" applyFont="1" applyFill="1" applyBorder="1" applyAlignment="1">
      <alignment horizontal="center"/>
    </xf>
    <xf numFmtId="0" fontId="6" fillId="0" borderId="1" xfId="8" applyFont="1" applyFill="1" applyBorder="1" applyAlignment="1">
      <alignment horizontal="center"/>
    </xf>
    <xf numFmtId="0" fontId="7" fillId="0" borderId="1" xfId="0" applyFont="1" applyFill="1" applyBorder="1"/>
    <xf numFmtId="0" fontId="6" fillId="0" borderId="0" xfId="0" applyFont="1"/>
    <xf numFmtId="0" fontId="3" fillId="0" borderId="1" xfId="0" applyFont="1" applyBorder="1" applyAlignment="1">
      <alignment horizontal="center" vertical="center" wrapText="1"/>
    </xf>
    <xf numFmtId="2" fontId="23" fillId="0" borderId="1" xfId="0" applyNumberFormat="1" applyFont="1" applyFill="1" applyBorder="1" applyAlignment="1">
      <alignment horizontal="right"/>
    </xf>
    <xf numFmtId="0" fontId="8" fillId="0" borderId="1" xfId="0" applyFont="1" applyFill="1" applyBorder="1"/>
    <xf numFmtId="2" fontId="22" fillId="0" borderId="1" xfId="0" applyNumberFormat="1" applyFont="1" applyFill="1" applyBorder="1" applyAlignment="1">
      <alignment horizontal="right"/>
    </xf>
    <xf numFmtId="0" fontId="23" fillId="0" borderId="1" xfId="0" applyFont="1" applyFill="1" applyBorder="1" applyAlignment="1">
      <alignment horizontal="center"/>
    </xf>
    <xf numFmtId="1" fontId="23" fillId="0" borderId="1" xfId="0" applyNumberFormat="1" applyFont="1" applyFill="1" applyBorder="1" applyAlignment="1">
      <alignment horizontal="right"/>
    </xf>
    <xf numFmtId="0" fontId="6" fillId="0" borderId="0" xfId="8" applyFont="1" applyFill="1" applyAlignment="1"/>
    <xf numFmtId="0" fontId="6" fillId="0" borderId="7" xfId="8" applyFont="1" applyFill="1" applyBorder="1" applyAlignment="1"/>
    <xf numFmtId="0" fontId="8" fillId="0" borderId="0" xfId="0" quotePrefix="1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/>
    <xf numFmtId="0" fontId="16" fillId="0" borderId="1" xfId="0" applyFont="1" applyBorder="1" applyAlignment="1">
      <alignment horizontal="left" vertical="center"/>
    </xf>
    <xf numFmtId="0" fontId="23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7" fillId="0" borderId="0" xfId="0" applyFont="1" applyBorder="1"/>
    <xf numFmtId="0" fontId="6" fillId="0" borderId="0" xfId="0" applyFont="1" applyBorder="1"/>
    <xf numFmtId="0" fontId="7" fillId="0" borderId="0" xfId="0" applyFont="1" applyAlignment="1">
      <alignment wrapText="1"/>
    </xf>
    <xf numFmtId="0" fontId="24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0" fontId="9" fillId="0" borderId="0" xfId="0" applyFont="1" applyBorder="1"/>
    <xf numFmtId="0" fontId="8" fillId="0" borderId="1" xfId="0" applyFont="1" applyBorder="1" applyAlignment="1">
      <alignment horizontal="left" vertical="center" wrapText="1"/>
    </xf>
    <xf numFmtId="0" fontId="6" fillId="2" borderId="1" xfId="8" applyFont="1" applyFill="1" applyBorder="1" applyAlignment="1">
      <alignment horizontal="center"/>
    </xf>
    <xf numFmtId="0" fontId="6" fillId="2" borderId="1" xfId="0" applyFont="1" applyFill="1" applyBorder="1"/>
    <xf numFmtId="0" fontId="6" fillId="0" borderId="0" xfId="8" applyFont="1"/>
    <xf numFmtId="165" fontId="9" fillId="0" borderId="1" xfId="0" applyNumberFormat="1" applyFont="1" applyFill="1" applyBorder="1" applyAlignment="1">
      <alignment horizontal="right"/>
    </xf>
    <xf numFmtId="1" fontId="6" fillId="0" borderId="0" xfId="0" applyNumberFormat="1" applyFont="1" applyFill="1"/>
    <xf numFmtId="0" fontId="6" fillId="2" borderId="2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4" xfId="0" quotePrefix="1" applyFont="1" applyFill="1" applyBorder="1" applyAlignment="1">
      <alignment horizontal="left"/>
    </xf>
    <xf numFmtId="0" fontId="8" fillId="2" borderId="2" xfId="0" quotePrefix="1" applyFont="1" applyFill="1" applyBorder="1" applyAlignment="1">
      <alignment horizontal="left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quotePrefix="1" applyFont="1" applyBorder="1" applyAlignment="1">
      <alignment horizontal="left"/>
    </xf>
    <xf numFmtId="0" fontId="10" fillId="0" borderId="2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6" fillId="0" borderId="0" xfId="0" applyFont="1" applyFill="1" applyAlignment="1">
      <alignment horizontal="left"/>
    </xf>
    <xf numFmtId="0" fontId="6" fillId="0" borderId="7" xfId="8" applyFont="1" applyFill="1" applyBorder="1" applyAlignment="1">
      <alignment horizontal="center"/>
    </xf>
    <xf numFmtId="0" fontId="6" fillId="0" borderId="0" xfId="8" applyFont="1" applyFill="1" applyAlignment="1">
      <alignment horizontal="left"/>
    </xf>
    <xf numFmtId="0" fontId="21" fillId="0" borderId="0" xfId="0" applyFont="1" applyFill="1" applyBorder="1" applyAlignment="1">
      <alignment horizontal="right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20" fillId="0" borderId="2" xfId="0" quotePrefix="1" applyFont="1" applyFill="1" applyBorder="1" applyAlignment="1">
      <alignment horizontal="center"/>
    </xf>
    <xf numFmtId="0" fontId="8" fillId="0" borderId="4" xfId="0" quotePrefix="1" applyFont="1" applyBorder="1" applyAlignment="1">
      <alignment horizontal="left"/>
    </xf>
    <xf numFmtId="0" fontId="8" fillId="0" borderId="2" xfId="0" quotePrefix="1" applyFont="1" applyBorder="1" applyAlignment="1">
      <alignment horizontal="left"/>
    </xf>
    <xf numFmtId="0" fontId="8" fillId="0" borderId="2" xfId="0" applyFont="1" applyBorder="1" applyAlignment="1">
      <alignment horizontal="right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</cellXfs>
  <cellStyles count="15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 7" xfId="14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ColWidth="9.140625" defaultRowHeight="12.75"/>
  <cols>
    <col min="1" max="1" width="6.42578125" style="1" customWidth="1"/>
    <col min="2" max="2" width="30" style="1" customWidth="1"/>
    <col min="3" max="11" width="12.7109375" style="1" customWidth="1"/>
    <col min="12" max="16384" width="9.140625" style="1"/>
  </cols>
  <sheetData>
    <row r="1" spans="1:11" ht="15">
      <c r="A1" s="160" t="s">
        <v>49</v>
      </c>
      <c r="B1" s="161"/>
      <c r="C1" s="161"/>
      <c r="D1" s="161"/>
      <c r="E1" s="161"/>
      <c r="F1" s="161"/>
      <c r="G1" s="161"/>
      <c r="H1" s="161"/>
      <c r="I1" s="157" t="s">
        <v>26</v>
      </c>
      <c r="J1" s="157"/>
      <c r="K1" s="157"/>
    </row>
    <row r="2" spans="1:11" ht="41.25" customHeight="1">
      <c r="A2" s="158" t="s">
        <v>2</v>
      </c>
      <c r="B2" s="158" t="s">
        <v>0</v>
      </c>
      <c r="C2" s="158" t="s">
        <v>51</v>
      </c>
      <c r="D2" s="158"/>
      <c r="E2" s="158"/>
      <c r="F2" s="158" t="s">
        <v>8</v>
      </c>
      <c r="G2" s="158"/>
      <c r="H2" s="158"/>
      <c r="I2" s="159" t="s">
        <v>9</v>
      </c>
      <c r="J2" s="159"/>
      <c r="K2" s="159"/>
    </row>
    <row r="3" spans="1:11" s="4" customFormat="1" ht="39.75" customHeight="1">
      <c r="A3" s="158"/>
      <c r="B3" s="158"/>
      <c r="C3" s="89" t="s">
        <v>47</v>
      </c>
      <c r="D3" s="89" t="s">
        <v>48</v>
      </c>
      <c r="E3" s="2" t="s">
        <v>23</v>
      </c>
      <c r="F3" s="89" t="s">
        <v>47</v>
      </c>
      <c r="G3" s="89" t="s">
        <v>48</v>
      </c>
      <c r="H3" s="2" t="s">
        <v>23</v>
      </c>
      <c r="I3" s="89" t="s">
        <v>47</v>
      </c>
      <c r="J3" s="89" t="s">
        <v>48</v>
      </c>
      <c r="K3" s="2" t="s">
        <v>23</v>
      </c>
    </row>
    <row r="4" spans="1:11" s="4" customFormat="1" ht="15">
      <c r="A4" s="13">
        <v>1</v>
      </c>
      <c r="B4" s="5" t="s">
        <v>46</v>
      </c>
      <c r="C4" s="9">
        <v>2534.5958018885067</v>
      </c>
      <c r="D4" s="9">
        <v>2662.9066212615016</v>
      </c>
      <c r="E4" s="6">
        <v>5.0623779648570242</v>
      </c>
      <c r="F4" s="19">
        <v>302997</v>
      </c>
      <c r="G4" s="19">
        <v>248751</v>
      </c>
      <c r="H4" s="6">
        <v>-17.903147555916394</v>
      </c>
      <c r="I4" s="19">
        <v>1634153</v>
      </c>
      <c r="J4" s="19">
        <v>2862143</v>
      </c>
      <c r="K4" s="6">
        <v>75.145350527153823</v>
      </c>
    </row>
    <row r="5" spans="1:11" s="4" customFormat="1" ht="15">
      <c r="A5" s="13">
        <v>2</v>
      </c>
      <c r="B5" s="87" t="s">
        <v>22</v>
      </c>
      <c r="C5" s="8">
        <v>91.420272972999996</v>
      </c>
      <c r="D5" s="8">
        <v>147.097021619</v>
      </c>
      <c r="E5" s="3">
        <v>60.901971559900659</v>
      </c>
      <c r="F5" s="11">
        <v>47848</v>
      </c>
      <c r="G5" s="11">
        <v>68891</v>
      </c>
      <c r="H5" s="3">
        <v>43.978849690687177</v>
      </c>
      <c r="I5" s="11">
        <v>46012</v>
      </c>
      <c r="J5" s="11">
        <v>54549</v>
      </c>
      <c r="K5" s="3">
        <v>18.55385551595236</v>
      </c>
    </row>
    <row r="6" spans="1:11" s="4" customFormat="1" ht="15">
      <c r="A6" s="13">
        <v>3</v>
      </c>
      <c r="B6" s="87" t="s">
        <v>30</v>
      </c>
      <c r="C6" s="8">
        <v>243.95895651754572</v>
      </c>
      <c r="D6" s="8">
        <v>325.57377821410876</v>
      </c>
      <c r="E6" s="3">
        <v>33.454324801841508</v>
      </c>
      <c r="F6" s="11">
        <v>35176</v>
      </c>
      <c r="G6" s="11">
        <v>36379</v>
      </c>
      <c r="H6" s="3">
        <v>3.4199454173299975</v>
      </c>
      <c r="I6" s="11">
        <v>167022</v>
      </c>
      <c r="J6" s="11">
        <v>361162</v>
      </c>
      <c r="K6" s="3">
        <v>116.23618445474249</v>
      </c>
    </row>
    <row r="7" spans="1:11" s="4" customFormat="1" ht="15">
      <c r="A7" s="13">
        <v>4</v>
      </c>
      <c r="B7" s="87" t="s">
        <v>31</v>
      </c>
      <c r="C7" s="8">
        <v>3290.1772770366379</v>
      </c>
      <c r="D7" s="8">
        <v>4290.8535899713388</v>
      </c>
      <c r="E7" s="3">
        <v>30.414054583587042</v>
      </c>
      <c r="F7" s="11">
        <v>273800</v>
      </c>
      <c r="G7" s="11">
        <v>308501</v>
      </c>
      <c r="H7" s="3">
        <v>12.673849525200875</v>
      </c>
      <c r="I7" s="11">
        <v>43774126</v>
      </c>
      <c r="J7" s="11">
        <v>38128462</v>
      </c>
      <c r="K7" s="3">
        <v>-12.897262643233583</v>
      </c>
    </row>
    <row r="8" spans="1:11" s="4" customFormat="1" ht="15">
      <c r="A8" s="13">
        <v>5</v>
      </c>
      <c r="B8" s="87" t="s">
        <v>14</v>
      </c>
      <c r="C8" s="8">
        <v>609.02464024016888</v>
      </c>
      <c r="D8" s="8">
        <v>730.70605252384746</v>
      </c>
      <c r="E8" s="3">
        <v>19.979719085863838</v>
      </c>
      <c r="F8" s="11">
        <v>111380</v>
      </c>
      <c r="G8" s="11">
        <v>123936</v>
      </c>
      <c r="H8" s="3">
        <v>11.273119051894415</v>
      </c>
      <c r="I8" s="11">
        <v>53891</v>
      </c>
      <c r="J8" s="11">
        <v>62699</v>
      </c>
      <c r="K8" s="3">
        <v>16.344101983633628</v>
      </c>
    </row>
    <row r="9" spans="1:11" s="4" customFormat="1" ht="15">
      <c r="A9" s="13">
        <v>6</v>
      </c>
      <c r="B9" s="87" t="s">
        <v>18</v>
      </c>
      <c r="C9" s="8">
        <v>982.9667073430137</v>
      </c>
      <c r="D9" s="8">
        <v>1227.4580928741739</v>
      </c>
      <c r="E9" s="3">
        <v>24.872804308095763</v>
      </c>
      <c r="F9" s="11">
        <v>91111</v>
      </c>
      <c r="G9" s="11">
        <v>104873</v>
      </c>
      <c r="H9" s="3">
        <v>15.10465256664947</v>
      </c>
      <c r="I9" s="11">
        <v>23169</v>
      </c>
      <c r="J9" s="11">
        <v>1395341</v>
      </c>
      <c r="K9" s="3">
        <v>5922.4480987526431</v>
      </c>
    </row>
    <row r="10" spans="1:11" s="4" customFormat="1" ht="15">
      <c r="A10" s="13">
        <v>7</v>
      </c>
      <c r="B10" s="87" t="s">
        <v>33</v>
      </c>
      <c r="C10" s="8">
        <v>876.55740724379166</v>
      </c>
      <c r="D10" s="8">
        <v>1449.8351395156137</v>
      </c>
      <c r="E10" s="3">
        <v>65.401048183987314</v>
      </c>
      <c r="F10" s="11">
        <v>65923</v>
      </c>
      <c r="G10" s="11">
        <v>93423</v>
      </c>
      <c r="H10" s="3">
        <v>41.715334556983144</v>
      </c>
      <c r="I10" s="11">
        <v>11090248</v>
      </c>
      <c r="J10" s="11">
        <v>18136576</v>
      </c>
      <c r="K10" s="3">
        <v>63.536252751065625</v>
      </c>
    </row>
    <row r="11" spans="1:11" s="4" customFormat="1" ht="15">
      <c r="A11" s="13">
        <v>8</v>
      </c>
      <c r="B11" s="87" t="s">
        <v>34</v>
      </c>
      <c r="C11" s="8">
        <v>228.14296333299296</v>
      </c>
      <c r="D11" s="8">
        <v>342.51799301847666</v>
      </c>
      <c r="E11" s="3">
        <v>50.133051668371706</v>
      </c>
      <c r="F11" s="11">
        <v>45868</v>
      </c>
      <c r="G11" s="11">
        <v>64805</v>
      </c>
      <c r="H11" s="3">
        <v>41.285863783029562</v>
      </c>
      <c r="I11" s="11">
        <v>536969</v>
      </c>
      <c r="J11" s="11">
        <v>194761</v>
      </c>
      <c r="K11" s="3">
        <v>-63.729563531600519</v>
      </c>
    </row>
    <row r="12" spans="1:11" s="4" customFormat="1" ht="15">
      <c r="A12" s="13">
        <v>9</v>
      </c>
      <c r="B12" s="87" t="s">
        <v>20</v>
      </c>
      <c r="C12" s="8">
        <v>865.1975021507875</v>
      </c>
      <c r="D12" s="8">
        <v>760.09499067246657</v>
      </c>
      <c r="E12" s="8">
        <v>-12.1478056995134</v>
      </c>
      <c r="F12" s="11">
        <v>188315</v>
      </c>
      <c r="G12" s="11">
        <v>194105</v>
      </c>
      <c r="H12" s="3">
        <v>3.0746355839949024</v>
      </c>
      <c r="I12" s="11">
        <v>500901</v>
      </c>
      <c r="J12" s="11">
        <v>1858348</v>
      </c>
      <c r="K12" s="3">
        <v>271.00105609691337</v>
      </c>
    </row>
    <row r="13" spans="1:11" s="4" customFormat="1" ht="15">
      <c r="A13" s="14">
        <v>10</v>
      </c>
      <c r="B13" s="88" t="s">
        <v>17</v>
      </c>
      <c r="C13" s="8">
        <v>399.89087977888801</v>
      </c>
      <c r="D13" s="8">
        <v>582.20120423499998</v>
      </c>
      <c r="E13" s="3">
        <v>45.590018096165878</v>
      </c>
      <c r="F13" s="11">
        <v>41861</v>
      </c>
      <c r="G13" s="11">
        <v>79793</v>
      </c>
      <c r="H13" s="3">
        <v>90.614175485535469</v>
      </c>
      <c r="I13" s="11">
        <v>504289</v>
      </c>
      <c r="J13" s="11">
        <v>655118</v>
      </c>
      <c r="K13" s="3">
        <v>29.909238551703488</v>
      </c>
    </row>
    <row r="14" spans="1:11" s="4" customFormat="1" ht="15">
      <c r="A14" s="13">
        <v>11</v>
      </c>
      <c r="B14" s="87" t="s">
        <v>35</v>
      </c>
      <c r="C14" s="8">
        <v>8696.2131297175583</v>
      </c>
      <c r="D14" s="8">
        <v>11349.13426449908</v>
      </c>
      <c r="E14" s="3">
        <v>30.506625070120435</v>
      </c>
      <c r="F14" s="11">
        <v>1083156</v>
      </c>
      <c r="G14" s="11">
        <v>1050200</v>
      </c>
      <c r="H14" s="3">
        <v>-3.0425903563290979</v>
      </c>
      <c r="I14" s="11">
        <v>19774194</v>
      </c>
      <c r="J14" s="11">
        <v>32170045</v>
      </c>
      <c r="K14" s="3">
        <v>62.687010150704502</v>
      </c>
    </row>
    <row r="15" spans="1:11" s="4" customFormat="1" ht="15">
      <c r="A15" s="13">
        <v>12</v>
      </c>
      <c r="B15" s="87" t="s">
        <v>36</v>
      </c>
      <c r="C15" s="8">
        <v>7863.4002042970023</v>
      </c>
      <c r="D15" s="8">
        <v>9118.0673514400005</v>
      </c>
      <c r="E15" s="3">
        <v>15.955783942643256</v>
      </c>
      <c r="F15" s="11">
        <v>702734</v>
      </c>
      <c r="G15" s="11">
        <v>837130</v>
      </c>
      <c r="H15" s="3">
        <v>19.124732829207069</v>
      </c>
      <c r="I15" s="11">
        <v>2059087</v>
      </c>
      <c r="J15" s="11">
        <v>3091260</v>
      </c>
      <c r="K15" s="3">
        <v>50.127702229191875</v>
      </c>
    </row>
    <row r="16" spans="1:11" s="15" customFormat="1" ht="15">
      <c r="A16" s="13">
        <v>13</v>
      </c>
      <c r="B16" s="87" t="s">
        <v>37</v>
      </c>
      <c r="C16" s="8">
        <v>793.5508762055</v>
      </c>
      <c r="D16" s="8">
        <v>833.02587576380006</v>
      </c>
      <c r="E16" s="3">
        <v>4.9744762109086889</v>
      </c>
      <c r="F16" s="11">
        <v>121071</v>
      </c>
      <c r="G16" s="11">
        <v>116713</v>
      </c>
      <c r="H16" s="3">
        <v>-3.5995407653360423</v>
      </c>
      <c r="I16" s="11">
        <v>396353</v>
      </c>
      <c r="J16" s="11">
        <v>207090</v>
      </c>
      <c r="K16" s="3">
        <v>-47.751120844297887</v>
      </c>
    </row>
    <row r="17" spans="1:11" s="4" customFormat="1" ht="15">
      <c r="A17" s="13">
        <v>14</v>
      </c>
      <c r="B17" s="87" t="s">
        <v>38</v>
      </c>
      <c r="C17" s="8">
        <v>1670.8463324709996</v>
      </c>
      <c r="D17" s="8">
        <v>1424.9667349050058</v>
      </c>
      <c r="E17" s="8">
        <v>-14.715871399278518</v>
      </c>
      <c r="F17" s="11">
        <v>125939</v>
      </c>
      <c r="G17" s="11">
        <v>182953</v>
      </c>
      <c r="H17" s="3">
        <v>45.27112332160808</v>
      </c>
      <c r="I17" s="11">
        <v>3602204</v>
      </c>
      <c r="J17" s="11">
        <v>1428370</v>
      </c>
      <c r="K17" s="3">
        <v>-60.347331800197878</v>
      </c>
    </row>
    <row r="18" spans="1:11" s="4" customFormat="1" ht="15">
      <c r="A18" s="13">
        <v>15</v>
      </c>
      <c r="B18" s="87" t="s">
        <v>50</v>
      </c>
      <c r="C18" s="8">
        <v>2849.7434056604534</v>
      </c>
      <c r="D18" s="8">
        <v>3404.2137916710021</v>
      </c>
      <c r="E18" s="3">
        <v>19.456853024353094</v>
      </c>
      <c r="F18" s="11">
        <v>300053</v>
      </c>
      <c r="G18" s="11">
        <v>338639</v>
      </c>
      <c r="H18" s="3">
        <v>12.859728114699736</v>
      </c>
      <c r="I18" s="11">
        <v>10528275</v>
      </c>
      <c r="J18" s="11">
        <v>8341432</v>
      </c>
      <c r="K18" s="3">
        <v>-20.771142471107567</v>
      </c>
    </row>
    <row r="19" spans="1:11" s="4" customFormat="1" ht="15">
      <c r="A19" s="13">
        <v>16</v>
      </c>
      <c r="B19" s="87" t="s">
        <v>19</v>
      </c>
      <c r="C19" s="8">
        <v>3667.3845333100003</v>
      </c>
      <c r="D19" s="8">
        <v>4348.0340177970002</v>
      </c>
      <c r="E19" s="3">
        <v>18.559534139516025</v>
      </c>
      <c r="F19" s="11">
        <v>503450</v>
      </c>
      <c r="G19" s="11">
        <v>561841</v>
      </c>
      <c r="H19" s="3">
        <v>11.598172608997913</v>
      </c>
      <c r="I19" s="11">
        <v>1770093</v>
      </c>
      <c r="J19" s="11">
        <v>3194113</v>
      </c>
      <c r="K19" s="3">
        <v>80.448880369562502</v>
      </c>
    </row>
    <row r="20" spans="1:11" s="4" customFormat="1" ht="15">
      <c r="A20" s="13">
        <v>17</v>
      </c>
      <c r="B20" s="87" t="s">
        <v>21</v>
      </c>
      <c r="C20" s="8">
        <v>1150.1764106000001</v>
      </c>
      <c r="D20" s="8">
        <v>1427.0453048369995</v>
      </c>
      <c r="E20" s="3">
        <v>24.071863384206278</v>
      </c>
      <c r="F20" s="11">
        <v>216802</v>
      </c>
      <c r="G20" s="11">
        <v>219805</v>
      </c>
      <c r="H20" s="3">
        <v>1.3851348234794882</v>
      </c>
      <c r="I20" s="11">
        <v>1433642</v>
      </c>
      <c r="J20" s="11">
        <v>743110</v>
      </c>
      <c r="K20" s="3">
        <v>-48.166278610699187</v>
      </c>
    </row>
    <row r="21" spans="1:11" s="4" customFormat="1" ht="15">
      <c r="A21" s="13">
        <v>18</v>
      </c>
      <c r="B21" s="87" t="s">
        <v>40</v>
      </c>
      <c r="C21" s="8">
        <v>1051.5799908449308</v>
      </c>
      <c r="D21" s="8">
        <v>915.61959835087873</v>
      </c>
      <c r="E21" s="8">
        <v>-12.929153623854106</v>
      </c>
      <c r="F21" s="11">
        <v>272247</v>
      </c>
      <c r="G21" s="11">
        <v>216651</v>
      </c>
      <c r="H21" s="3">
        <v>-20.421161665693287</v>
      </c>
      <c r="I21" s="11">
        <v>2665351</v>
      </c>
      <c r="J21" s="11">
        <v>1244686</v>
      </c>
      <c r="K21" s="3">
        <v>-53.301234996816547</v>
      </c>
    </row>
    <row r="22" spans="1:11" s="4" customFormat="1" ht="15">
      <c r="A22" s="13">
        <v>19</v>
      </c>
      <c r="B22" s="87" t="s">
        <v>12</v>
      </c>
      <c r="C22" s="8">
        <v>44.676514699999998</v>
      </c>
      <c r="D22" s="8">
        <v>4.2627053000000004</v>
      </c>
      <c r="E22" s="3">
        <v>-90.458733568131265</v>
      </c>
      <c r="F22" s="11">
        <v>16058</v>
      </c>
      <c r="G22" s="11">
        <v>1622</v>
      </c>
      <c r="H22" s="3">
        <v>-89.899115705567326</v>
      </c>
      <c r="I22" s="11">
        <v>0</v>
      </c>
      <c r="J22" s="11">
        <v>0</v>
      </c>
      <c r="K22" s="3"/>
    </row>
    <row r="23" spans="1:11" s="4" customFormat="1" ht="15">
      <c r="A23" s="16">
        <v>20</v>
      </c>
      <c r="B23" s="87" t="s">
        <v>7</v>
      </c>
      <c r="C23" s="8">
        <v>10145.763925078296</v>
      </c>
      <c r="D23" s="8">
        <v>10965.285823341987</v>
      </c>
      <c r="E23" s="3">
        <v>8.0774784857549928</v>
      </c>
      <c r="F23" s="11">
        <v>1275550</v>
      </c>
      <c r="G23" s="11">
        <v>1428457</v>
      </c>
      <c r="H23" s="3">
        <v>11.987534788914585</v>
      </c>
      <c r="I23" s="11">
        <v>3668800</v>
      </c>
      <c r="J23" s="11">
        <v>4530335</v>
      </c>
      <c r="K23" s="3">
        <v>23.482746402093326</v>
      </c>
    </row>
    <row r="24" spans="1:11" s="4" customFormat="1" ht="15">
      <c r="A24" s="16">
        <v>21</v>
      </c>
      <c r="B24" s="87" t="s">
        <v>13</v>
      </c>
      <c r="C24" s="8">
        <v>739.36435972056893</v>
      </c>
      <c r="D24" s="8">
        <v>815.91632277536996</v>
      </c>
      <c r="E24" s="3">
        <v>10.353753470580141</v>
      </c>
      <c r="F24" s="11">
        <v>200691</v>
      </c>
      <c r="G24" s="11">
        <v>247183</v>
      </c>
      <c r="H24" s="3">
        <v>23.165961602662797</v>
      </c>
      <c r="I24" s="11">
        <v>22097864</v>
      </c>
      <c r="J24" s="11">
        <v>6394352</v>
      </c>
      <c r="K24" s="3">
        <v>-71.063483782866982</v>
      </c>
    </row>
    <row r="25" spans="1:11" s="17" customFormat="1" ht="15">
      <c r="A25" s="16">
        <v>22</v>
      </c>
      <c r="B25" s="87" t="s">
        <v>41</v>
      </c>
      <c r="C25" s="8">
        <v>700.10593612000071</v>
      </c>
      <c r="D25" s="8">
        <v>700.72488949300009</v>
      </c>
      <c r="E25" s="3">
        <v>8.8408530918854339E-2</v>
      </c>
      <c r="F25" s="11">
        <v>119797</v>
      </c>
      <c r="G25" s="11">
        <v>113211</v>
      </c>
      <c r="H25" s="3">
        <v>-5.4976334966651921</v>
      </c>
      <c r="I25" s="11">
        <v>240241</v>
      </c>
      <c r="J25" s="11">
        <v>420351</v>
      </c>
      <c r="K25" s="3">
        <v>74.970550405634341</v>
      </c>
    </row>
    <row r="26" spans="1:11" s="17" customFormat="1" ht="15">
      <c r="A26" s="16">
        <v>23</v>
      </c>
      <c r="B26" s="87" t="s">
        <v>42</v>
      </c>
      <c r="C26" s="8">
        <v>1131.4964713791696</v>
      </c>
      <c r="D26" s="8">
        <v>1489.0124228490001</v>
      </c>
      <c r="E26" s="3">
        <v>31.596735872632276</v>
      </c>
      <c r="F26" s="11">
        <v>183318</v>
      </c>
      <c r="G26" s="11">
        <v>222740</v>
      </c>
      <c r="H26" s="3">
        <v>21.504707666459378</v>
      </c>
      <c r="I26" s="11">
        <v>94633</v>
      </c>
      <c r="J26" s="11">
        <v>116234</v>
      </c>
      <c r="K26" s="3">
        <v>22.826075470501834</v>
      </c>
    </row>
    <row r="27" spans="1:11" s="17" customFormat="1" ht="15">
      <c r="A27" s="18"/>
      <c r="B27" s="5" t="s">
        <v>10</v>
      </c>
      <c r="C27" s="9">
        <v>50626.234498609803</v>
      </c>
      <c r="D27" s="9">
        <v>59314.553586928654</v>
      </c>
      <c r="E27" s="6">
        <v>17.161693288797593</v>
      </c>
      <c r="F27" s="19">
        <v>6325145</v>
      </c>
      <c r="G27" s="19">
        <v>6860602</v>
      </c>
      <c r="H27" s="6">
        <v>8.4655292487365905</v>
      </c>
      <c r="I27" s="19">
        <v>126661517</v>
      </c>
      <c r="J27" s="19">
        <v>125590537</v>
      </c>
      <c r="K27" s="6">
        <v>-0.84554490216629896</v>
      </c>
    </row>
    <row r="28" spans="1:11" s="17" customFormat="1" ht="15">
      <c r="A28" s="13">
        <v>24</v>
      </c>
      <c r="B28" s="5" t="s">
        <v>52</v>
      </c>
      <c r="C28" s="12">
        <v>124396.265353959</v>
      </c>
      <c r="D28" s="12">
        <v>134551.683682601</v>
      </c>
      <c r="E28" s="10">
        <v>8.1637646433722271</v>
      </c>
      <c r="F28" s="91">
        <v>20131500</v>
      </c>
      <c r="G28" s="91">
        <v>21338176</v>
      </c>
      <c r="H28" s="10">
        <v>5.993969649554181</v>
      </c>
      <c r="I28" s="91">
        <v>53174202</v>
      </c>
      <c r="J28" s="91">
        <v>60542332</v>
      </c>
      <c r="K28" s="10">
        <v>13.856587824298709</v>
      </c>
    </row>
    <row r="29" spans="1:11" s="17" customFormat="1" ht="15">
      <c r="A29" s="18"/>
      <c r="B29" s="5" t="s">
        <v>53</v>
      </c>
      <c r="C29" s="9">
        <v>175022.49985256878</v>
      </c>
      <c r="D29" s="9">
        <v>193866.23726952967</v>
      </c>
      <c r="E29" s="6">
        <v>10.766465701743497</v>
      </c>
      <c r="F29" s="19">
        <v>26456645</v>
      </c>
      <c r="G29" s="19">
        <v>28198778</v>
      </c>
      <c r="H29" s="6">
        <v>6.5848598716881908</v>
      </c>
      <c r="I29" s="19">
        <v>179835719</v>
      </c>
      <c r="J29" s="19">
        <v>186132869</v>
      </c>
      <c r="K29" s="6">
        <v>3.5016124911202984</v>
      </c>
    </row>
    <row r="30" spans="1:11">
      <c r="A30" s="7" t="s">
        <v>24</v>
      </c>
      <c r="F30" s="90"/>
      <c r="G30" s="90"/>
      <c r="H30" s="90"/>
      <c r="I30" s="90"/>
      <c r="J30" s="90"/>
      <c r="K30" s="90"/>
    </row>
    <row r="31" spans="1:11">
      <c r="A31" s="7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topLeftCell="A46" workbookViewId="0">
      <selection activeCell="F153" sqref="F153"/>
    </sheetView>
  </sheetViews>
  <sheetFormatPr defaultColWidth="9.140625" defaultRowHeight="14.25"/>
  <cols>
    <col min="1" max="1" width="6.42578125" style="23" customWidth="1"/>
    <col min="2" max="2" width="33.7109375" style="23" customWidth="1"/>
    <col min="3" max="13" width="12.7109375" style="23" customWidth="1"/>
    <col min="14" max="14" width="12" style="23" bestFit="1" customWidth="1"/>
    <col min="15" max="16384" width="9.140625" style="23"/>
  </cols>
  <sheetData>
    <row r="1" spans="1:14" ht="15">
      <c r="A1" s="164" t="s">
        <v>27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</row>
    <row r="2" spans="1:14" ht="15">
      <c r="A2" s="24"/>
      <c r="B2" s="25"/>
      <c r="C2" s="25"/>
      <c r="D2" s="25"/>
      <c r="E2" s="25"/>
      <c r="F2" s="25"/>
      <c r="G2" s="25"/>
      <c r="H2" s="25"/>
      <c r="I2" s="25"/>
      <c r="J2" s="167" t="s">
        <v>26</v>
      </c>
      <c r="K2" s="167"/>
      <c r="L2" s="168"/>
      <c r="M2" s="168"/>
    </row>
    <row r="3" spans="1:14" ht="41.25" customHeight="1">
      <c r="A3" s="166" t="s">
        <v>2</v>
      </c>
      <c r="B3" s="166" t="s">
        <v>0</v>
      </c>
      <c r="C3" s="166" t="s">
        <v>15</v>
      </c>
      <c r="D3" s="166"/>
      <c r="E3" s="166"/>
      <c r="F3" s="166"/>
      <c r="G3" s="166"/>
      <c r="H3" s="26"/>
      <c r="I3" s="166" t="s">
        <v>8</v>
      </c>
      <c r="J3" s="166"/>
      <c r="K3" s="166"/>
      <c r="L3" s="166"/>
      <c r="M3" s="166"/>
      <c r="N3" s="27"/>
    </row>
    <row r="4" spans="1:14" ht="41.25" customHeight="1">
      <c r="A4" s="166"/>
      <c r="B4" s="166"/>
      <c r="C4" s="26" t="s">
        <v>43</v>
      </c>
      <c r="D4" s="26" t="s">
        <v>44</v>
      </c>
      <c r="E4" s="162" t="s">
        <v>45</v>
      </c>
      <c r="F4" s="26" t="s">
        <v>43</v>
      </c>
      <c r="G4" s="26" t="s">
        <v>44</v>
      </c>
      <c r="H4" s="162" t="s">
        <v>45</v>
      </c>
      <c r="I4" s="26" t="s">
        <v>43</v>
      </c>
      <c r="J4" s="26" t="s">
        <v>44</v>
      </c>
      <c r="K4" s="162" t="s">
        <v>45</v>
      </c>
      <c r="L4" s="26" t="s">
        <v>43</v>
      </c>
      <c r="M4" s="26" t="s">
        <v>44</v>
      </c>
      <c r="N4" s="162" t="s">
        <v>45</v>
      </c>
    </row>
    <row r="5" spans="1:14" s="29" customFormat="1" ht="39.75" customHeight="1">
      <c r="A5" s="166"/>
      <c r="B5" s="166"/>
      <c r="C5" s="28" t="s">
        <v>28</v>
      </c>
      <c r="D5" s="28" t="s">
        <v>28</v>
      </c>
      <c r="E5" s="163"/>
      <c r="F5" s="28" t="s">
        <v>29</v>
      </c>
      <c r="G5" s="28" t="s">
        <v>29</v>
      </c>
      <c r="H5" s="163"/>
      <c r="I5" s="28" t="s">
        <v>28</v>
      </c>
      <c r="J5" s="28" t="s">
        <v>28</v>
      </c>
      <c r="K5" s="163"/>
      <c r="L5" s="28" t="s">
        <v>29</v>
      </c>
      <c r="M5" s="28" t="s">
        <v>29</v>
      </c>
      <c r="N5" s="163"/>
    </row>
    <row r="6" spans="1:14" s="29" customFormat="1" ht="15">
      <c r="A6" s="30">
        <v>1</v>
      </c>
      <c r="B6" s="31" t="s">
        <v>22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3"/>
    </row>
    <row r="7" spans="1:14">
      <c r="A7" s="34"/>
      <c r="B7" s="35" t="s">
        <v>3</v>
      </c>
      <c r="C7" s="36">
        <v>1.18</v>
      </c>
      <c r="D7" s="37">
        <v>1.1795909689999999</v>
      </c>
      <c r="E7" s="38">
        <f>C7-D7</f>
        <v>4.0903100000000414E-4</v>
      </c>
      <c r="F7" s="36">
        <v>1.34</v>
      </c>
      <c r="G7" s="39">
        <v>1.3442410779999998</v>
      </c>
      <c r="H7" s="38">
        <f>F7-G7</f>
        <v>-4.2410779999997317E-3</v>
      </c>
      <c r="I7" s="36">
        <v>1461</v>
      </c>
      <c r="J7" s="40">
        <v>1461</v>
      </c>
      <c r="K7" s="41">
        <f>I7-J7</f>
        <v>0</v>
      </c>
      <c r="L7" s="36">
        <v>1467</v>
      </c>
      <c r="M7" s="42">
        <v>1467</v>
      </c>
      <c r="N7" s="41">
        <f>L7-M7</f>
        <v>0</v>
      </c>
    </row>
    <row r="8" spans="1:14">
      <c r="A8" s="34"/>
      <c r="B8" s="35" t="s">
        <v>4</v>
      </c>
      <c r="C8" s="36">
        <v>37.36</v>
      </c>
      <c r="D8" s="37">
        <v>37.362601903000005</v>
      </c>
      <c r="E8" s="38">
        <f t="shared" ref="E8:E12" si="0">C8-D8</f>
        <v>-2.6019030000057342E-3</v>
      </c>
      <c r="F8" s="36">
        <v>66</v>
      </c>
      <c r="G8" s="39">
        <v>65.997021204000006</v>
      </c>
      <c r="H8" s="38">
        <f t="shared" ref="H8:H12" si="1">F8-G8</f>
        <v>2.978795999993622E-3</v>
      </c>
      <c r="I8" s="36">
        <v>17013</v>
      </c>
      <c r="J8" s="40">
        <v>17013</v>
      </c>
      <c r="K8" s="41">
        <f t="shared" ref="K8:K12" si="2">I8-J8</f>
        <v>0</v>
      </c>
      <c r="L8" s="36">
        <v>30108</v>
      </c>
      <c r="M8" s="42">
        <v>30108</v>
      </c>
      <c r="N8" s="41">
        <f t="shared" ref="N8:N12" si="3">L8-M8</f>
        <v>0</v>
      </c>
    </row>
    <row r="9" spans="1:14">
      <c r="A9" s="34"/>
      <c r="B9" s="35" t="s">
        <v>5</v>
      </c>
      <c r="C9" s="36">
        <v>0</v>
      </c>
      <c r="D9" s="37">
        <v>0</v>
      </c>
      <c r="E9" s="38">
        <f t="shared" si="0"/>
        <v>0</v>
      </c>
      <c r="F9" s="36">
        <v>0</v>
      </c>
      <c r="G9" s="39">
        <v>0</v>
      </c>
      <c r="H9" s="38">
        <f t="shared" si="1"/>
        <v>0</v>
      </c>
      <c r="I9" s="36">
        <v>0</v>
      </c>
      <c r="J9" s="40">
        <v>0</v>
      </c>
      <c r="K9" s="41">
        <f t="shared" si="2"/>
        <v>0</v>
      </c>
      <c r="L9" s="36">
        <v>0</v>
      </c>
      <c r="M9" s="42">
        <v>0</v>
      </c>
      <c r="N9" s="41">
        <f t="shared" si="3"/>
        <v>0</v>
      </c>
    </row>
    <row r="10" spans="1:14">
      <c r="A10" s="34"/>
      <c r="B10" s="35" t="s">
        <v>6</v>
      </c>
      <c r="C10" s="36">
        <v>0</v>
      </c>
      <c r="D10" s="37">
        <v>0</v>
      </c>
      <c r="E10" s="38">
        <f t="shared" si="0"/>
        <v>0</v>
      </c>
      <c r="F10" s="36">
        <v>0.03</v>
      </c>
      <c r="G10" s="39">
        <v>3.0315753000000001E-2</v>
      </c>
      <c r="H10" s="38">
        <f t="shared" si="1"/>
        <v>-3.1575300000000195E-4</v>
      </c>
      <c r="I10" s="36">
        <v>0</v>
      </c>
      <c r="J10" s="40">
        <v>0</v>
      </c>
      <c r="K10" s="41">
        <f t="shared" si="2"/>
        <v>0</v>
      </c>
      <c r="L10" s="36">
        <v>1</v>
      </c>
      <c r="M10" s="42">
        <v>1</v>
      </c>
      <c r="N10" s="41">
        <f t="shared" si="3"/>
        <v>0</v>
      </c>
    </row>
    <row r="11" spans="1:14">
      <c r="A11" s="34"/>
      <c r="B11" s="35" t="s">
        <v>25</v>
      </c>
      <c r="C11" s="36">
        <v>0</v>
      </c>
      <c r="D11" s="37">
        <v>0</v>
      </c>
      <c r="E11" s="38">
        <f t="shared" si="0"/>
        <v>0</v>
      </c>
      <c r="F11" s="36">
        <v>1.34</v>
      </c>
      <c r="G11" s="39">
        <v>1.343449637</v>
      </c>
      <c r="H11" s="38">
        <f t="shared" si="1"/>
        <v>-3.4496369999998944E-3</v>
      </c>
      <c r="I11" s="36">
        <v>0</v>
      </c>
      <c r="J11" s="40">
        <v>0</v>
      </c>
      <c r="K11" s="41">
        <f t="shared" si="2"/>
        <v>0</v>
      </c>
      <c r="L11" s="36">
        <v>17</v>
      </c>
      <c r="M11" s="42">
        <v>17</v>
      </c>
      <c r="N11" s="41">
        <f t="shared" si="3"/>
        <v>0</v>
      </c>
    </row>
    <row r="12" spans="1:14" s="29" customFormat="1" ht="15">
      <c r="A12" s="30"/>
      <c r="B12" s="43"/>
      <c r="C12" s="44">
        <f>C7+C8+C9+C10+C11</f>
        <v>38.54</v>
      </c>
      <c r="D12" s="45">
        <f>D7+D8+D9+D10+D11</f>
        <v>38.542192872000008</v>
      </c>
      <c r="E12" s="46">
        <f t="shared" si="0"/>
        <v>-2.1928720000090607E-3</v>
      </c>
      <c r="F12" s="44">
        <f>F7+F8+F9+F10+F11</f>
        <v>68.710000000000008</v>
      </c>
      <c r="G12" s="45">
        <f>G7+G8+G9+G10+G11</f>
        <v>68.715027672000005</v>
      </c>
      <c r="H12" s="46">
        <f t="shared" si="1"/>
        <v>-5.0276719999970965E-3</v>
      </c>
      <c r="I12" s="44">
        <f>I7+I8+I9+I10+I11</f>
        <v>18474</v>
      </c>
      <c r="J12" s="47">
        <f>J7+J8+J9+J10+J11</f>
        <v>18474</v>
      </c>
      <c r="K12" s="48">
        <f t="shared" si="2"/>
        <v>0</v>
      </c>
      <c r="L12" s="44">
        <f>L7+L8+L9+L10+L11</f>
        <v>31593</v>
      </c>
      <c r="M12" s="47">
        <f>M7+M8+M9+M10+M11</f>
        <v>31593</v>
      </c>
      <c r="N12" s="48">
        <f t="shared" si="3"/>
        <v>0</v>
      </c>
    </row>
    <row r="13" spans="1:14">
      <c r="A13" s="34"/>
      <c r="B13" s="35"/>
      <c r="C13" s="36"/>
      <c r="D13" s="37"/>
      <c r="E13" s="38"/>
      <c r="F13" s="36"/>
      <c r="G13" s="39"/>
      <c r="H13" s="38"/>
      <c r="I13" s="36"/>
      <c r="J13" s="40"/>
      <c r="K13" s="41"/>
      <c r="L13" s="36"/>
      <c r="M13" s="42"/>
      <c r="N13" s="41"/>
    </row>
    <row r="14" spans="1:14" s="29" customFormat="1" ht="15">
      <c r="A14" s="30">
        <v>2</v>
      </c>
      <c r="B14" s="31" t="s">
        <v>30</v>
      </c>
      <c r="C14" s="36"/>
      <c r="D14" s="32"/>
      <c r="E14" s="49"/>
      <c r="F14" s="36"/>
      <c r="G14" s="32"/>
      <c r="H14" s="49"/>
      <c r="I14" s="36"/>
      <c r="J14" s="32"/>
      <c r="K14" s="50"/>
      <c r="L14" s="36"/>
      <c r="M14" s="32"/>
      <c r="N14" s="50"/>
    </row>
    <row r="15" spans="1:14">
      <c r="A15" s="34"/>
      <c r="B15" s="35" t="s">
        <v>3</v>
      </c>
      <c r="C15" s="36">
        <v>4.09</v>
      </c>
      <c r="D15" s="37">
        <v>4.0887079999999996</v>
      </c>
      <c r="E15" s="38">
        <f>C15-D15</f>
        <v>1.2920000000002929E-3</v>
      </c>
      <c r="F15" s="36">
        <v>3.6</v>
      </c>
      <c r="G15" s="39">
        <v>3.6012961000000003</v>
      </c>
      <c r="H15" s="38">
        <f>F15-G15</f>
        <v>-1.2961000000002443E-3</v>
      </c>
      <c r="I15" s="36">
        <v>659</v>
      </c>
      <c r="J15" s="40">
        <v>659</v>
      </c>
      <c r="K15" s="41">
        <f>I15-J15</f>
        <v>0</v>
      </c>
      <c r="L15" s="36">
        <v>2060</v>
      </c>
      <c r="M15" s="42">
        <v>2060</v>
      </c>
      <c r="N15" s="41">
        <f>L15-M15</f>
        <v>0</v>
      </c>
    </row>
    <row r="16" spans="1:14">
      <c r="A16" s="34"/>
      <c r="B16" s="35" t="s">
        <v>4</v>
      </c>
      <c r="C16" s="36">
        <v>63.99</v>
      </c>
      <c r="D16" s="37">
        <v>63.985609500000002</v>
      </c>
      <c r="E16" s="38">
        <f t="shared" ref="E16:E20" si="4">C16-D16</f>
        <v>4.3904999999995198E-3</v>
      </c>
      <c r="F16" s="36">
        <v>84.79</v>
      </c>
      <c r="G16" s="51">
        <v>84.786888200000007</v>
      </c>
      <c r="H16" s="38">
        <f t="shared" ref="H16:H20" si="5">F16-G16</f>
        <v>3.1117999999992207E-3</v>
      </c>
      <c r="I16" s="36">
        <v>11691</v>
      </c>
      <c r="J16" s="40">
        <v>11691</v>
      </c>
      <c r="K16" s="41">
        <f t="shared" ref="K16:K20" si="6">I16-J16</f>
        <v>0</v>
      </c>
      <c r="L16" s="36">
        <v>14437</v>
      </c>
      <c r="M16" s="52">
        <v>14437</v>
      </c>
      <c r="N16" s="41">
        <f t="shared" ref="N16:N20" si="7">L16-M16</f>
        <v>0</v>
      </c>
    </row>
    <row r="17" spans="1:14">
      <c r="A17" s="34"/>
      <c r="B17" s="35" t="s">
        <v>5</v>
      </c>
      <c r="C17" s="36">
        <v>0.08</v>
      </c>
      <c r="D17" s="37">
        <v>8.4438539000000007E-2</v>
      </c>
      <c r="E17" s="38">
        <f t="shared" si="4"/>
        <v>-4.4385390000000052E-3</v>
      </c>
      <c r="F17" s="36">
        <v>7.75</v>
      </c>
      <c r="G17" s="39">
        <v>7.7461793944177115</v>
      </c>
      <c r="H17" s="38">
        <f t="shared" si="5"/>
        <v>3.8206055822884721E-3</v>
      </c>
      <c r="I17" s="36">
        <v>1</v>
      </c>
      <c r="J17" s="40">
        <v>1</v>
      </c>
      <c r="K17" s="41">
        <f t="shared" si="6"/>
        <v>0</v>
      </c>
      <c r="L17" s="36">
        <v>3</v>
      </c>
      <c r="M17" s="42">
        <v>3</v>
      </c>
      <c r="N17" s="41">
        <f t="shared" si="7"/>
        <v>0</v>
      </c>
    </row>
    <row r="18" spans="1:14">
      <c r="A18" s="34"/>
      <c r="B18" s="35" t="s">
        <v>6</v>
      </c>
      <c r="C18" s="36">
        <v>0.82</v>
      </c>
      <c r="D18" s="37">
        <v>32.530486606359204</v>
      </c>
      <c r="E18" s="38">
        <f t="shared" si="4"/>
        <v>-31.710486606359204</v>
      </c>
      <c r="F18" s="36">
        <v>1.05</v>
      </c>
      <c r="G18" s="39">
        <v>1.0502897</v>
      </c>
      <c r="H18" s="38">
        <f t="shared" si="5"/>
        <v>-2.8969999999994833E-4</v>
      </c>
      <c r="I18" s="36">
        <v>0</v>
      </c>
      <c r="J18" s="40">
        <v>14</v>
      </c>
      <c r="K18" s="41">
        <f t="shared" si="6"/>
        <v>-14</v>
      </c>
      <c r="L18" s="36">
        <v>0</v>
      </c>
      <c r="M18" s="42">
        <v>0</v>
      </c>
      <c r="N18" s="41">
        <f t="shared" si="7"/>
        <v>0</v>
      </c>
    </row>
    <row r="19" spans="1:14">
      <c r="A19" s="34"/>
      <c r="B19" s="35" t="s">
        <v>25</v>
      </c>
      <c r="C19" s="36">
        <v>31.71</v>
      </c>
      <c r="D19" s="37">
        <v>0</v>
      </c>
      <c r="E19" s="38">
        <f t="shared" si="4"/>
        <v>31.71</v>
      </c>
      <c r="F19" s="36">
        <v>70.930000000000007</v>
      </c>
      <c r="G19" s="39">
        <v>70.925250946002777</v>
      </c>
      <c r="H19" s="38">
        <f t="shared" si="5"/>
        <v>4.7490539972301349E-3</v>
      </c>
      <c r="I19" s="36">
        <v>14</v>
      </c>
      <c r="J19" s="40">
        <v>0</v>
      </c>
      <c r="K19" s="41">
        <f t="shared" si="6"/>
        <v>14</v>
      </c>
      <c r="L19" s="36">
        <v>64</v>
      </c>
      <c r="M19" s="42">
        <v>64</v>
      </c>
      <c r="N19" s="41">
        <f t="shared" si="7"/>
        <v>0</v>
      </c>
    </row>
    <row r="20" spans="1:14" s="29" customFormat="1" ht="15">
      <c r="A20" s="30"/>
      <c r="B20" s="43"/>
      <c r="C20" s="44">
        <f>C15+C16+C17+C18+C19</f>
        <v>100.69</v>
      </c>
      <c r="D20" s="45">
        <f>D15+D16+D17+D18+D19</f>
        <v>100.68924264535922</v>
      </c>
      <c r="E20" s="46">
        <f t="shared" si="4"/>
        <v>7.5735464078263703E-4</v>
      </c>
      <c r="F20" s="44">
        <f>F15+F16+F17+F18+F19</f>
        <v>168.12</v>
      </c>
      <c r="G20" s="45">
        <f>G15+G16+G17+G18+G19</f>
        <v>168.10990434042048</v>
      </c>
      <c r="H20" s="46">
        <f t="shared" si="5"/>
        <v>1.0095659579519634E-2</v>
      </c>
      <c r="I20" s="44">
        <f>I15+I16+I17+I18+I19</f>
        <v>12365</v>
      </c>
      <c r="J20" s="47">
        <f>J15+J16+J17+J18+J19</f>
        <v>12365</v>
      </c>
      <c r="K20" s="48">
        <f t="shared" si="6"/>
        <v>0</v>
      </c>
      <c r="L20" s="44">
        <f>L15+L16+L17+L18+L19</f>
        <v>16564</v>
      </c>
      <c r="M20" s="47">
        <f>M15+M16+M17+M18+M19</f>
        <v>16564</v>
      </c>
      <c r="N20" s="48">
        <f t="shared" si="7"/>
        <v>0</v>
      </c>
    </row>
    <row r="21" spans="1:14">
      <c r="A21" s="34"/>
      <c r="B21" s="35"/>
      <c r="C21" s="36"/>
      <c r="D21" s="37"/>
      <c r="E21" s="38"/>
      <c r="F21" s="36"/>
      <c r="G21" s="39"/>
      <c r="H21" s="38"/>
      <c r="I21" s="36"/>
      <c r="J21" s="40"/>
      <c r="K21" s="41"/>
      <c r="L21" s="36"/>
      <c r="M21" s="42"/>
      <c r="N21" s="41"/>
    </row>
    <row r="22" spans="1:14" s="29" customFormat="1" ht="15">
      <c r="A22" s="30">
        <v>3</v>
      </c>
      <c r="B22" s="31" t="s">
        <v>31</v>
      </c>
      <c r="C22" s="36"/>
      <c r="D22" s="32"/>
      <c r="E22" s="49"/>
      <c r="F22" s="36"/>
      <c r="G22" s="32"/>
      <c r="H22" s="49"/>
      <c r="I22" s="36"/>
      <c r="J22" s="32"/>
      <c r="K22" s="50"/>
      <c r="L22" s="36"/>
      <c r="M22" s="32"/>
      <c r="N22" s="50"/>
    </row>
    <row r="23" spans="1:14">
      <c r="A23" s="34"/>
      <c r="B23" s="35" t="s">
        <v>3</v>
      </c>
      <c r="C23" s="36">
        <v>34.090000000000003</v>
      </c>
      <c r="D23" s="37">
        <v>34.091961140999999</v>
      </c>
      <c r="E23" s="38">
        <f>C23-D23</f>
        <v>-1.9611409999953366E-3</v>
      </c>
      <c r="F23" s="36">
        <v>40.049999999999997</v>
      </c>
      <c r="G23" s="39">
        <v>40.051792933199998</v>
      </c>
      <c r="H23" s="38">
        <f>F23-G23</f>
        <v>-1.7929332000008458E-3</v>
      </c>
      <c r="I23" s="36">
        <v>1601</v>
      </c>
      <c r="J23" s="40">
        <v>1601</v>
      </c>
      <c r="K23" s="41">
        <f>I23-J23</f>
        <v>0</v>
      </c>
      <c r="L23" s="36">
        <v>1538</v>
      </c>
      <c r="M23" s="42">
        <v>1538</v>
      </c>
      <c r="N23" s="41">
        <f>L23-M23</f>
        <v>0</v>
      </c>
    </row>
    <row r="24" spans="1:14">
      <c r="A24" s="34"/>
      <c r="B24" s="35" t="s">
        <v>4</v>
      </c>
      <c r="C24" s="36">
        <v>496.82</v>
      </c>
      <c r="D24" s="53">
        <v>496.81770463719818</v>
      </c>
      <c r="E24" s="38">
        <f t="shared" ref="E24:E28" si="8">C24-D24</f>
        <v>2.2953628018171912E-3</v>
      </c>
      <c r="F24" s="36">
        <v>769.95</v>
      </c>
      <c r="G24" s="39">
        <v>769.95044207314697</v>
      </c>
      <c r="H24" s="38">
        <f t="shared" ref="H24:H28" si="9">F24-G24</f>
        <v>-4.4207314692812361E-4</v>
      </c>
      <c r="I24" s="36">
        <v>141189</v>
      </c>
      <c r="J24" s="54">
        <v>141189</v>
      </c>
      <c r="K24" s="41">
        <f t="shared" ref="K24:K28" si="10">I24-J24</f>
        <v>0</v>
      </c>
      <c r="L24" s="36">
        <v>181317</v>
      </c>
      <c r="M24" s="42">
        <v>181317</v>
      </c>
      <c r="N24" s="41">
        <f t="shared" ref="N24:N28" si="11">L24-M24</f>
        <v>0</v>
      </c>
    </row>
    <row r="25" spans="1:14">
      <c r="A25" s="34"/>
      <c r="B25" s="35" t="s">
        <v>5</v>
      </c>
      <c r="C25" s="36">
        <v>772.84</v>
      </c>
      <c r="D25" s="37">
        <v>772.83987356099999</v>
      </c>
      <c r="E25" s="38">
        <f t="shared" si="8"/>
        <v>1.2643900004150055E-4</v>
      </c>
      <c r="F25" s="36">
        <v>1565.16</v>
      </c>
      <c r="G25" s="39">
        <v>1565.1588795795499</v>
      </c>
      <c r="H25" s="38">
        <f t="shared" si="9"/>
        <v>1.1204204502064385E-3</v>
      </c>
      <c r="I25" s="36">
        <v>35</v>
      </c>
      <c r="J25" s="40">
        <v>35</v>
      </c>
      <c r="K25" s="41">
        <f t="shared" si="10"/>
        <v>0</v>
      </c>
      <c r="L25" s="36">
        <v>57</v>
      </c>
      <c r="M25" s="42">
        <v>57</v>
      </c>
      <c r="N25" s="41">
        <f t="shared" si="11"/>
        <v>0</v>
      </c>
    </row>
    <row r="26" spans="1:14">
      <c r="A26" s="34"/>
      <c r="B26" s="35" t="s">
        <v>6</v>
      </c>
      <c r="C26" s="36">
        <v>295.07</v>
      </c>
      <c r="D26" s="37">
        <v>527.22265483410308</v>
      </c>
      <c r="E26" s="38">
        <f t="shared" si="8"/>
        <v>-232.15265483410309</v>
      </c>
      <c r="F26" s="36">
        <v>2.78</v>
      </c>
      <c r="G26" s="51">
        <v>2.7842274230000807</v>
      </c>
      <c r="H26" s="38">
        <f t="shared" si="9"/>
        <v>-4.2274230000809432E-3</v>
      </c>
      <c r="I26" s="36">
        <v>0</v>
      </c>
      <c r="J26" s="40">
        <v>87</v>
      </c>
      <c r="K26" s="41">
        <f t="shared" si="10"/>
        <v>-87</v>
      </c>
      <c r="L26" s="36">
        <v>6</v>
      </c>
      <c r="M26" s="52">
        <v>6</v>
      </c>
      <c r="N26" s="41">
        <f t="shared" si="11"/>
        <v>0</v>
      </c>
    </row>
    <row r="27" spans="1:14">
      <c r="A27" s="34"/>
      <c r="B27" s="35" t="s">
        <v>25</v>
      </c>
      <c r="C27" s="36">
        <v>232.15</v>
      </c>
      <c r="D27" s="37">
        <v>0</v>
      </c>
      <c r="E27" s="38">
        <f t="shared" si="8"/>
        <v>232.15</v>
      </c>
      <c r="F27" s="36">
        <v>230</v>
      </c>
      <c r="G27" s="39">
        <v>229.99580761624972</v>
      </c>
      <c r="H27" s="38">
        <f t="shared" si="9"/>
        <v>4.1923837502793049E-3</v>
      </c>
      <c r="I27" s="36">
        <v>87</v>
      </c>
      <c r="J27" s="40">
        <v>0</v>
      </c>
      <c r="K27" s="41">
        <f t="shared" si="10"/>
        <v>87</v>
      </c>
      <c r="L27" s="36">
        <v>39</v>
      </c>
      <c r="M27" s="42">
        <v>39</v>
      </c>
      <c r="N27" s="41">
        <f t="shared" si="11"/>
        <v>0</v>
      </c>
    </row>
    <row r="28" spans="1:14" s="29" customFormat="1" ht="15">
      <c r="A28" s="30"/>
      <c r="B28" s="43"/>
      <c r="C28" s="44">
        <f>C23+C24+C25+C26+C27</f>
        <v>1830.97</v>
      </c>
      <c r="D28" s="45">
        <f>D23+D24+D25+D26+D27</f>
        <v>1830.9721941733014</v>
      </c>
      <c r="E28" s="46">
        <f t="shared" si="8"/>
        <v>-2.1941733014045894E-3</v>
      </c>
      <c r="F28" s="44">
        <f>F23+F24+F25+F26+F27</f>
        <v>2607.94</v>
      </c>
      <c r="G28" s="45">
        <f>G23+G24+G25+G26+G27</f>
        <v>2607.9411496251469</v>
      </c>
      <c r="H28" s="46">
        <f t="shared" si="9"/>
        <v>-1.1496251468088303E-3</v>
      </c>
      <c r="I28" s="44">
        <f>I23+I24+I25+I26+I27</f>
        <v>142912</v>
      </c>
      <c r="J28" s="47">
        <f>J23+J24+J25+J26+J27</f>
        <v>142912</v>
      </c>
      <c r="K28" s="48">
        <f t="shared" si="10"/>
        <v>0</v>
      </c>
      <c r="L28" s="44">
        <f>L23+L24+L25+L26+L27</f>
        <v>182957</v>
      </c>
      <c r="M28" s="47">
        <f>M23+M24+M25+M26+M27</f>
        <v>182957</v>
      </c>
      <c r="N28" s="48">
        <f t="shared" si="11"/>
        <v>0</v>
      </c>
    </row>
    <row r="29" spans="1:14">
      <c r="A29" s="34"/>
      <c r="B29" s="35"/>
      <c r="C29" s="36"/>
      <c r="D29" s="37"/>
      <c r="E29" s="38"/>
      <c r="F29" s="36"/>
      <c r="G29" s="39"/>
      <c r="H29" s="38"/>
      <c r="I29" s="36"/>
      <c r="J29" s="40"/>
      <c r="K29" s="41"/>
      <c r="L29" s="36"/>
      <c r="M29" s="42"/>
      <c r="N29" s="41"/>
    </row>
    <row r="30" spans="1:14" s="29" customFormat="1" ht="15">
      <c r="A30" s="30">
        <v>4</v>
      </c>
      <c r="B30" s="31" t="s">
        <v>14</v>
      </c>
      <c r="C30" s="36"/>
      <c r="D30" s="32"/>
      <c r="E30" s="49"/>
      <c r="F30" s="36"/>
      <c r="G30" s="32"/>
      <c r="H30" s="49"/>
      <c r="I30" s="36"/>
      <c r="J30" s="32"/>
      <c r="K30" s="50"/>
      <c r="L30" s="36"/>
      <c r="M30" s="32"/>
      <c r="N30" s="50"/>
    </row>
    <row r="31" spans="1:14">
      <c r="A31" s="34"/>
      <c r="B31" s="35" t="s">
        <v>3</v>
      </c>
      <c r="C31" s="36">
        <v>6.28</v>
      </c>
      <c r="D31" s="37">
        <v>6.2799569550000003</v>
      </c>
      <c r="E31" s="38">
        <f>C31-D31</f>
        <v>4.3044999999963807E-5</v>
      </c>
      <c r="F31" s="36">
        <v>5.7</v>
      </c>
      <c r="G31" s="39">
        <v>5.701022085</v>
      </c>
      <c r="H31" s="38">
        <f>F31-G31</f>
        <v>-1.0220849999997839E-3</v>
      </c>
      <c r="I31" s="36">
        <v>141</v>
      </c>
      <c r="J31" s="40">
        <v>141</v>
      </c>
      <c r="K31" s="41">
        <f>I31-J31</f>
        <v>0</v>
      </c>
      <c r="L31" s="36">
        <v>139</v>
      </c>
      <c r="M31" s="42">
        <v>139</v>
      </c>
      <c r="N31" s="41">
        <f>L31-M31</f>
        <v>0</v>
      </c>
    </row>
    <row r="32" spans="1:14">
      <c r="A32" s="34"/>
      <c r="B32" s="35" t="s">
        <v>4</v>
      </c>
      <c r="C32" s="36">
        <v>221.71</v>
      </c>
      <c r="D32" s="37">
        <v>221.70827241164798</v>
      </c>
      <c r="E32" s="38">
        <f t="shared" ref="E32:E36" si="12">C32-D32</f>
        <v>1.7275883520255775E-3</v>
      </c>
      <c r="F32" s="36">
        <v>216.01</v>
      </c>
      <c r="G32" s="39">
        <v>216.00590906700549</v>
      </c>
      <c r="H32" s="38">
        <f t="shared" ref="H32:H36" si="13">F32-G32</f>
        <v>4.0909329945009176E-3</v>
      </c>
      <c r="I32" s="36">
        <v>57116</v>
      </c>
      <c r="J32" s="40">
        <v>57116</v>
      </c>
      <c r="K32" s="41">
        <f t="shared" ref="K32:K36" si="14">I32-J32</f>
        <v>0</v>
      </c>
      <c r="L32" s="36">
        <v>56189</v>
      </c>
      <c r="M32" s="42">
        <v>56189</v>
      </c>
      <c r="N32" s="41">
        <f t="shared" ref="N32:N36" si="15">L32-M32</f>
        <v>0</v>
      </c>
    </row>
    <row r="33" spans="1:14">
      <c r="A33" s="34"/>
      <c r="B33" s="35" t="s">
        <v>5</v>
      </c>
      <c r="C33" s="36">
        <v>146.1</v>
      </c>
      <c r="D33" s="37">
        <v>146.10067447599988</v>
      </c>
      <c r="E33" s="38">
        <f t="shared" si="12"/>
        <v>-6.7447599988668117E-4</v>
      </c>
      <c r="F33" s="36">
        <v>150.65</v>
      </c>
      <c r="G33" s="39">
        <v>150.64587784899993</v>
      </c>
      <c r="H33" s="38">
        <f t="shared" si="13"/>
        <v>4.1221510000752914E-3</v>
      </c>
      <c r="I33" s="36">
        <v>1</v>
      </c>
      <c r="J33" s="40">
        <v>1</v>
      </c>
      <c r="K33" s="41">
        <f t="shared" si="14"/>
        <v>0</v>
      </c>
      <c r="L33" s="36">
        <v>1</v>
      </c>
      <c r="M33" s="42">
        <v>1</v>
      </c>
      <c r="N33" s="41">
        <f t="shared" si="15"/>
        <v>0</v>
      </c>
    </row>
    <row r="34" spans="1:14">
      <c r="A34" s="34"/>
      <c r="B34" s="35" t="s">
        <v>6</v>
      </c>
      <c r="C34" s="36">
        <v>0.05</v>
      </c>
      <c r="D34" s="37">
        <v>4.7783999999999993E-2</v>
      </c>
      <c r="E34" s="38">
        <f t="shared" si="12"/>
        <v>2.2160000000000096E-3</v>
      </c>
      <c r="F34" s="36">
        <v>0</v>
      </c>
      <c r="G34" s="39">
        <v>0</v>
      </c>
      <c r="H34" s="38">
        <f t="shared" si="13"/>
        <v>0</v>
      </c>
      <c r="I34" s="36">
        <v>1</v>
      </c>
      <c r="J34" s="40">
        <v>1</v>
      </c>
      <c r="K34" s="41">
        <f t="shared" si="14"/>
        <v>0</v>
      </c>
      <c r="L34" s="36">
        <v>0</v>
      </c>
      <c r="M34" s="42">
        <v>0</v>
      </c>
      <c r="N34" s="41">
        <f t="shared" si="15"/>
        <v>0</v>
      </c>
    </row>
    <row r="35" spans="1:14" ht="17.25" customHeight="1">
      <c r="A35" s="34"/>
      <c r="B35" s="35" t="s">
        <v>25</v>
      </c>
      <c r="C35" s="36">
        <v>0</v>
      </c>
      <c r="D35" s="37">
        <v>0</v>
      </c>
      <c r="E35" s="38">
        <f t="shared" si="12"/>
        <v>0</v>
      </c>
      <c r="F35" s="36">
        <v>0</v>
      </c>
      <c r="G35" s="39">
        <v>0</v>
      </c>
      <c r="H35" s="38">
        <f t="shared" si="13"/>
        <v>0</v>
      </c>
      <c r="I35" s="36">
        <v>0</v>
      </c>
      <c r="J35" s="40">
        <v>0</v>
      </c>
      <c r="K35" s="41">
        <f t="shared" si="14"/>
        <v>0</v>
      </c>
      <c r="L35" s="36">
        <v>0</v>
      </c>
      <c r="M35" s="42">
        <v>0</v>
      </c>
      <c r="N35" s="41">
        <f t="shared" si="15"/>
        <v>0</v>
      </c>
    </row>
    <row r="36" spans="1:14" s="29" customFormat="1" ht="17.25" customHeight="1">
      <c r="A36" s="30"/>
      <c r="B36" s="43"/>
      <c r="C36" s="44">
        <f>C31+C32+C33+C34+C35</f>
        <v>374.14000000000004</v>
      </c>
      <c r="D36" s="45">
        <f>D31+D32+D33+D34+D35</f>
        <v>374.1366878426478</v>
      </c>
      <c r="E36" s="46">
        <f t="shared" si="12"/>
        <v>3.3121573522407743E-3</v>
      </c>
      <c r="F36" s="44">
        <f>F31+F32+F33+F34+F35</f>
        <v>372.36</v>
      </c>
      <c r="G36" s="45">
        <f>G31+G32+G33+G34+G35</f>
        <v>372.35280900100543</v>
      </c>
      <c r="H36" s="46">
        <f t="shared" si="13"/>
        <v>7.1909989945879715E-3</v>
      </c>
      <c r="I36" s="44">
        <f>I31+I32+I33+I34+I35</f>
        <v>57259</v>
      </c>
      <c r="J36" s="47">
        <f>J31+J32+J33+J34+J35</f>
        <v>57259</v>
      </c>
      <c r="K36" s="48">
        <f t="shared" si="14"/>
        <v>0</v>
      </c>
      <c r="L36" s="44">
        <f>L31+L32+L33+L34+L35</f>
        <v>56329</v>
      </c>
      <c r="M36" s="47">
        <f>M31+M32+M33+M34+M35</f>
        <v>56329</v>
      </c>
      <c r="N36" s="48">
        <f t="shared" si="15"/>
        <v>0</v>
      </c>
    </row>
    <row r="37" spans="1:14" ht="17.25" customHeight="1">
      <c r="A37" s="34"/>
      <c r="B37" s="35"/>
      <c r="C37" s="36"/>
      <c r="D37" s="37"/>
      <c r="E37" s="38"/>
      <c r="F37" s="36"/>
      <c r="G37" s="39"/>
      <c r="H37" s="38"/>
      <c r="I37" s="36"/>
      <c r="J37" s="40"/>
      <c r="K37" s="41"/>
      <c r="L37" s="36"/>
      <c r="M37" s="42"/>
      <c r="N37" s="41"/>
    </row>
    <row r="38" spans="1:14" s="29" customFormat="1" ht="15">
      <c r="A38" s="30">
        <v>5</v>
      </c>
      <c r="B38" s="31" t="s">
        <v>32</v>
      </c>
      <c r="C38" s="36"/>
      <c r="D38" s="32"/>
      <c r="E38" s="49"/>
      <c r="F38" s="36"/>
      <c r="G38" s="32"/>
      <c r="H38" s="49"/>
      <c r="I38" s="36"/>
      <c r="J38" s="32"/>
      <c r="K38" s="50"/>
      <c r="L38" s="36"/>
      <c r="M38" s="32"/>
      <c r="N38" s="50"/>
    </row>
    <row r="39" spans="1:14">
      <c r="A39" s="34"/>
      <c r="B39" s="35" t="s">
        <v>3</v>
      </c>
      <c r="C39" s="36">
        <v>23.86</v>
      </c>
      <c r="D39" s="53">
        <v>23.864256499910798</v>
      </c>
      <c r="E39" s="38">
        <f>C39-D39</f>
        <v>-4.2564999107987944E-3</v>
      </c>
      <c r="F39" s="36">
        <v>42.84</v>
      </c>
      <c r="G39" s="39">
        <v>42.842520819593304</v>
      </c>
      <c r="H39" s="38">
        <f>F39-G39</f>
        <v>-2.5208195933004163E-3</v>
      </c>
      <c r="I39" s="36">
        <v>621</v>
      </c>
      <c r="J39" s="54">
        <v>621</v>
      </c>
      <c r="K39" s="41">
        <f>I39-J39</f>
        <v>0</v>
      </c>
      <c r="L39" s="36">
        <v>628</v>
      </c>
      <c r="M39" s="42">
        <v>628</v>
      </c>
      <c r="N39" s="41">
        <f>L39-M39</f>
        <v>0</v>
      </c>
    </row>
    <row r="40" spans="1:14">
      <c r="A40" s="34"/>
      <c r="B40" s="35" t="s">
        <v>4</v>
      </c>
      <c r="C40" s="36">
        <v>390.59</v>
      </c>
      <c r="D40" s="37">
        <v>390.5855830678621</v>
      </c>
      <c r="E40" s="38">
        <f t="shared" ref="E40:E44" si="16">C40-D40</f>
        <v>4.4169321378717541E-3</v>
      </c>
      <c r="F40" s="36">
        <v>483.14</v>
      </c>
      <c r="G40" s="39">
        <v>483.14187835799851</v>
      </c>
      <c r="H40" s="38">
        <f t="shared" ref="H40:H44" si="17">F40-G40</f>
        <v>-1.8783579985210963E-3</v>
      </c>
      <c r="I40" s="36">
        <v>154973</v>
      </c>
      <c r="J40" s="40">
        <v>154973</v>
      </c>
      <c r="K40" s="41">
        <f t="shared" ref="K40:K44" si="18">I40-J40</f>
        <v>0</v>
      </c>
      <c r="L40" s="36">
        <v>146793</v>
      </c>
      <c r="M40" s="42">
        <v>146793</v>
      </c>
      <c r="N40" s="41">
        <f t="shared" ref="N40:N44" si="19">L40-M40</f>
        <v>0</v>
      </c>
    </row>
    <row r="41" spans="1:14">
      <c r="A41" s="34"/>
      <c r="B41" s="35" t="s">
        <v>5</v>
      </c>
      <c r="C41" s="36">
        <v>12.04</v>
      </c>
      <c r="D41" s="37">
        <v>12.038073339000007</v>
      </c>
      <c r="E41" s="38">
        <f t="shared" si="16"/>
        <v>1.926660999991725E-3</v>
      </c>
      <c r="F41" s="36">
        <v>832.47</v>
      </c>
      <c r="G41" s="39">
        <v>832.47380228299937</v>
      </c>
      <c r="H41" s="38">
        <f t="shared" si="17"/>
        <v>-3.8022829993451523E-3</v>
      </c>
      <c r="I41" s="36">
        <v>2</v>
      </c>
      <c r="J41" s="40">
        <v>2</v>
      </c>
      <c r="K41" s="41">
        <f t="shared" si="18"/>
        <v>0</v>
      </c>
      <c r="L41" s="36">
        <v>32</v>
      </c>
      <c r="M41" s="42">
        <v>32</v>
      </c>
      <c r="N41" s="41">
        <f t="shared" si="19"/>
        <v>0</v>
      </c>
    </row>
    <row r="42" spans="1:14">
      <c r="A42" s="34"/>
      <c r="B42" s="35" t="s">
        <v>6</v>
      </c>
      <c r="C42" s="36">
        <v>1038.51</v>
      </c>
      <c r="D42" s="53">
        <v>1085.9656684659999</v>
      </c>
      <c r="E42" s="38">
        <f t="shared" si="16"/>
        <v>-47.455668465999906</v>
      </c>
      <c r="F42" s="36">
        <v>65.680000000000007</v>
      </c>
      <c r="G42" s="39">
        <v>65.675931051999996</v>
      </c>
      <c r="H42" s="38">
        <f t="shared" si="17"/>
        <v>4.0689480000111189E-3</v>
      </c>
      <c r="I42" s="36">
        <v>45</v>
      </c>
      <c r="J42" s="54">
        <v>305</v>
      </c>
      <c r="K42" s="41">
        <f t="shared" si="18"/>
        <v>-260</v>
      </c>
      <c r="L42" s="36">
        <v>8</v>
      </c>
      <c r="M42" s="42">
        <v>8</v>
      </c>
      <c r="N42" s="41">
        <f t="shared" si="19"/>
        <v>0</v>
      </c>
    </row>
    <row r="43" spans="1:14">
      <c r="A43" s="34"/>
      <c r="B43" s="35" t="s">
        <v>25</v>
      </c>
      <c r="C43" s="36">
        <v>47.45</v>
      </c>
      <c r="D43" s="53">
        <v>0</v>
      </c>
      <c r="E43" s="38">
        <f t="shared" si="16"/>
        <v>47.45</v>
      </c>
      <c r="F43" s="36">
        <v>52.68</v>
      </c>
      <c r="G43" s="39">
        <v>52.675157271645702</v>
      </c>
      <c r="H43" s="38">
        <f t="shared" si="17"/>
        <v>4.8427283542977761E-3</v>
      </c>
      <c r="I43" s="36">
        <v>260</v>
      </c>
      <c r="J43" s="54">
        <v>0</v>
      </c>
      <c r="K43" s="41">
        <f t="shared" si="18"/>
        <v>260</v>
      </c>
      <c r="L43" s="36">
        <v>486</v>
      </c>
      <c r="M43" s="42">
        <v>486</v>
      </c>
      <c r="N43" s="41">
        <f t="shared" si="19"/>
        <v>0</v>
      </c>
    </row>
    <row r="44" spans="1:14" s="29" customFormat="1" ht="15">
      <c r="A44" s="30"/>
      <c r="B44" s="43"/>
      <c r="C44" s="44">
        <f>C39+C40+C41+C42+C43</f>
        <v>1512.45</v>
      </c>
      <c r="D44" s="45">
        <f>D39+D40+D41+D42+D43</f>
        <v>1512.4535813727728</v>
      </c>
      <c r="E44" s="46">
        <f t="shared" si="16"/>
        <v>-3.5813727727145306E-3</v>
      </c>
      <c r="F44" s="44">
        <f>F39+F40+F41+F42+F43</f>
        <v>1476.8100000000002</v>
      </c>
      <c r="G44" s="45">
        <f>G39+G40+G41+G42+G43</f>
        <v>1476.8092897842369</v>
      </c>
      <c r="H44" s="46">
        <f t="shared" si="17"/>
        <v>7.102157633198658E-4</v>
      </c>
      <c r="I44" s="44">
        <f>I39+I40+I41+I42+I43</f>
        <v>155901</v>
      </c>
      <c r="J44" s="47">
        <f>J39+J40+J41+J42+J43</f>
        <v>155901</v>
      </c>
      <c r="K44" s="48">
        <f t="shared" si="18"/>
        <v>0</v>
      </c>
      <c r="L44" s="44">
        <f>L39+L40+L41+L42+L43</f>
        <v>147947</v>
      </c>
      <c r="M44" s="47">
        <f>M39+M40+M41+M42+M43</f>
        <v>147947</v>
      </c>
      <c r="N44" s="48">
        <f t="shared" si="19"/>
        <v>0</v>
      </c>
    </row>
    <row r="45" spans="1:14">
      <c r="A45" s="34"/>
      <c r="B45" s="35"/>
      <c r="C45" s="36"/>
      <c r="D45" s="53"/>
      <c r="E45" s="55"/>
      <c r="F45" s="36"/>
      <c r="G45" s="39"/>
      <c r="H45" s="55"/>
      <c r="I45" s="36"/>
      <c r="J45" s="54"/>
      <c r="K45" s="56"/>
      <c r="L45" s="36"/>
      <c r="M45" s="42"/>
      <c r="N45" s="56"/>
    </row>
    <row r="46" spans="1:14" s="29" customFormat="1" ht="15">
      <c r="A46" s="30">
        <v>6</v>
      </c>
      <c r="B46" s="31" t="s">
        <v>18</v>
      </c>
      <c r="C46" s="36"/>
      <c r="D46" s="32"/>
      <c r="E46" s="49"/>
      <c r="F46" s="36"/>
      <c r="G46" s="32"/>
      <c r="H46" s="49"/>
      <c r="I46" s="36"/>
      <c r="J46" s="32"/>
      <c r="K46" s="50"/>
      <c r="L46" s="36"/>
      <c r="M46" s="32"/>
      <c r="N46" s="50"/>
    </row>
    <row r="47" spans="1:14">
      <c r="A47" s="34"/>
      <c r="B47" s="35" t="s">
        <v>3</v>
      </c>
      <c r="C47" s="36">
        <v>13.81</v>
      </c>
      <c r="D47" s="37">
        <v>13.812173556999996</v>
      </c>
      <c r="E47" s="38">
        <f>C47-D47</f>
        <v>-2.1735569999954407E-3</v>
      </c>
      <c r="F47" s="36">
        <v>8.9499999999999993</v>
      </c>
      <c r="G47" s="39">
        <v>8.9504538259999986</v>
      </c>
      <c r="H47" s="38">
        <f>F47-G47</f>
        <v>-4.5382599999932438E-4</v>
      </c>
      <c r="I47" s="36">
        <v>104</v>
      </c>
      <c r="J47" s="40">
        <v>104</v>
      </c>
      <c r="K47" s="41">
        <f>I47-J47</f>
        <v>0</v>
      </c>
      <c r="L47" s="36">
        <v>203</v>
      </c>
      <c r="M47" s="42">
        <v>203</v>
      </c>
      <c r="N47" s="41">
        <f>L47-M47</f>
        <v>0</v>
      </c>
    </row>
    <row r="48" spans="1:14">
      <c r="A48" s="34"/>
      <c r="B48" s="35" t="s">
        <v>4</v>
      </c>
      <c r="C48" s="36">
        <v>259.36</v>
      </c>
      <c r="D48" s="37">
        <v>259.36089985799555</v>
      </c>
      <c r="E48" s="38">
        <f t="shared" ref="E48:E52" si="20">C48-D48</f>
        <v>-8.9985799553460311E-4</v>
      </c>
      <c r="F48" s="36">
        <v>446.71</v>
      </c>
      <c r="G48" s="51">
        <v>446.7149951219937</v>
      </c>
      <c r="H48" s="38">
        <f t="shared" ref="H48:H52" si="21">F48-G48</f>
        <v>-4.9951219937156566E-3</v>
      </c>
      <c r="I48" s="36">
        <v>44559</v>
      </c>
      <c r="J48" s="40">
        <v>44559</v>
      </c>
      <c r="K48" s="41">
        <f t="shared" ref="K48:K52" si="22">I48-J48</f>
        <v>0</v>
      </c>
      <c r="L48" s="36">
        <v>60240</v>
      </c>
      <c r="M48" s="52">
        <v>60240</v>
      </c>
      <c r="N48" s="41">
        <f t="shared" ref="N48:N52" si="23">L48-M48</f>
        <v>0</v>
      </c>
    </row>
    <row r="49" spans="1:14" ht="14.25" customHeight="1">
      <c r="A49" s="34"/>
      <c r="B49" s="35" t="s">
        <v>5</v>
      </c>
      <c r="C49" s="36">
        <v>236.44</v>
      </c>
      <c r="D49" s="53">
        <v>236.69140735000002</v>
      </c>
      <c r="E49" s="38">
        <f t="shared" si="20"/>
        <v>-0.25140735000002223</v>
      </c>
      <c r="F49" s="36">
        <v>242.16</v>
      </c>
      <c r="G49" s="57">
        <v>242.16045490889832</v>
      </c>
      <c r="H49" s="38">
        <f t="shared" si="21"/>
        <v>-4.5490889831967252E-4</v>
      </c>
      <c r="I49" s="36">
        <v>0</v>
      </c>
      <c r="J49" s="54">
        <v>16</v>
      </c>
      <c r="K49" s="41">
        <f t="shared" si="22"/>
        <v>-16</v>
      </c>
      <c r="L49" s="36">
        <v>7</v>
      </c>
      <c r="M49" s="58">
        <v>7</v>
      </c>
      <c r="N49" s="41">
        <f t="shared" si="23"/>
        <v>0</v>
      </c>
    </row>
    <row r="50" spans="1:14">
      <c r="A50" s="34"/>
      <c r="B50" s="35" t="s">
        <v>6</v>
      </c>
      <c r="C50" s="36">
        <v>2.06</v>
      </c>
      <c r="D50" s="53">
        <v>2.0641899390000003</v>
      </c>
      <c r="E50" s="38">
        <f t="shared" si="20"/>
        <v>-4.1899390000001979E-3</v>
      </c>
      <c r="F50" s="36">
        <v>2.8</v>
      </c>
      <c r="G50" s="39">
        <v>2.8009206522542378</v>
      </c>
      <c r="H50" s="38">
        <f t="shared" si="21"/>
        <v>-9.206522542379858E-4</v>
      </c>
      <c r="I50" s="36">
        <v>0</v>
      </c>
      <c r="J50" s="54">
        <v>0</v>
      </c>
      <c r="K50" s="41">
        <f t="shared" si="22"/>
        <v>0</v>
      </c>
      <c r="L50" s="36">
        <v>3</v>
      </c>
      <c r="M50" s="42">
        <v>3</v>
      </c>
      <c r="N50" s="41">
        <f t="shared" si="23"/>
        <v>0</v>
      </c>
    </row>
    <row r="51" spans="1:14">
      <c r="A51" s="34"/>
      <c r="B51" s="35" t="s">
        <v>25</v>
      </c>
      <c r="C51" s="36">
        <v>0.27</v>
      </c>
      <c r="D51" s="53">
        <v>0</v>
      </c>
      <c r="E51" s="38">
        <f t="shared" si="20"/>
        <v>0.27</v>
      </c>
      <c r="F51" s="36">
        <v>37.229999999999997</v>
      </c>
      <c r="G51" s="39">
        <v>37.231922632</v>
      </c>
      <c r="H51" s="38">
        <f t="shared" si="21"/>
        <v>-1.9226320000029773E-3</v>
      </c>
      <c r="I51" s="36">
        <v>16</v>
      </c>
      <c r="J51" s="54">
        <v>0</v>
      </c>
      <c r="K51" s="41">
        <f t="shared" si="22"/>
        <v>16</v>
      </c>
      <c r="L51" s="36">
        <v>9</v>
      </c>
      <c r="M51" s="42">
        <v>9</v>
      </c>
      <c r="N51" s="41">
        <f t="shared" si="23"/>
        <v>0</v>
      </c>
    </row>
    <row r="52" spans="1:14" s="29" customFormat="1" ht="15">
      <c r="A52" s="30"/>
      <c r="B52" s="43"/>
      <c r="C52" s="44">
        <f>C47+C48+C49+C50+C51</f>
        <v>511.94</v>
      </c>
      <c r="D52" s="45">
        <f>D47+D48+D49+D50+D51</f>
        <v>511.92867070399558</v>
      </c>
      <c r="E52" s="46">
        <f t="shared" si="20"/>
        <v>1.132929600441912E-2</v>
      </c>
      <c r="F52" s="44">
        <f>F47+F48+F49+F50+F51</f>
        <v>737.84999999999991</v>
      </c>
      <c r="G52" s="45">
        <f>G47+G48+G49+G50+G51</f>
        <v>737.85874714114618</v>
      </c>
      <c r="H52" s="46">
        <f t="shared" si="21"/>
        <v>-8.747141146272952E-3</v>
      </c>
      <c r="I52" s="44">
        <f>I47+I48+I49+I50+I51</f>
        <v>44679</v>
      </c>
      <c r="J52" s="47">
        <f>J47+J48+J49+J50+J51</f>
        <v>44679</v>
      </c>
      <c r="K52" s="48">
        <f t="shared" si="22"/>
        <v>0</v>
      </c>
      <c r="L52" s="44">
        <f>L47+L48+L49+L50+L51</f>
        <v>60462</v>
      </c>
      <c r="M52" s="47">
        <f>M47+M48+M49+M50+M51</f>
        <v>60462</v>
      </c>
      <c r="N52" s="48">
        <f t="shared" si="23"/>
        <v>0</v>
      </c>
    </row>
    <row r="53" spans="1:14">
      <c r="A53" s="34"/>
      <c r="B53" s="35"/>
      <c r="C53" s="36"/>
      <c r="D53" s="53"/>
      <c r="E53" s="55"/>
      <c r="F53" s="36"/>
      <c r="G53" s="39"/>
      <c r="H53" s="55"/>
      <c r="I53" s="36"/>
      <c r="J53" s="54"/>
      <c r="K53" s="56"/>
      <c r="L53" s="36"/>
      <c r="M53" s="42"/>
      <c r="N53" s="56"/>
    </row>
    <row r="54" spans="1:14" s="29" customFormat="1" ht="15">
      <c r="A54" s="30">
        <v>7</v>
      </c>
      <c r="B54" s="31" t="s">
        <v>33</v>
      </c>
      <c r="C54" s="36"/>
      <c r="D54" s="32"/>
      <c r="E54" s="49"/>
      <c r="F54" s="36"/>
      <c r="G54" s="32"/>
      <c r="H54" s="49"/>
      <c r="I54" s="36"/>
      <c r="J54" s="32"/>
      <c r="K54" s="50"/>
      <c r="L54" s="36"/>
      <c r="M54" s="32"/>
      <c r="N54" s="50"/>
    </row>
    <row r="55" spans="1:14">
      <c r="A55" s="34"/>
      <c r="B55" s="35" t="s">
        <v>3</v>
      </c>
      <c r="C55" s="36">
        <v>22.05</v>
      </c>
      <c r="D55" s="53">
        <v>22.052132099999998</v>
      </c>
      <c r="E55" s="38">
        <f>C55-D55</f>
        <v>-2.1320999999971946E-3</v>
      </c>
      <c r="F55" s="36">
        <v>21.99</v>
      </c>
      <c r="G55" s="57">
        <v>21.994518399999997</v>
      </c>
      <c r="H55" s="38">
        <f>F55-G55</f>
        <v>-4.5183999999984792E-3</v>
      </c>
      <c r="I55" s="36">
        <v>2094</v>
      </c>
      <c r="J55" s="54">
        <v>2094</v>
      </c>
      <c r="K55" s="41">
        <f>I55-J55</f>
        <v>0</v>
      </c>
      <c r="L55" s="36">
        <v>4684</v>
      </c>
      <c r="M55" s="58">
        <v>4684</v>
      </c>
      <c r="N55" s="41">
        <f>L55-M55</f>
        <v>0</v>
      </c>
    </row>
    <row r="56" spans="1:14">
      <c r="A56" s="34"/>
      <c r="B56" s="35" t="s">
        <v>4</v>
      </c>
      <c r="C56" s="36">
        <v>93.67</v>
      </c>
      <c r="D56" s="53">
        <v>93.670940286999993</v>
      </c>
      <c r="E56" s="38">
        <f t="shared" ref="E56:E60" si="24">C56-D56</f>
        <v>-9.4028699999171295E-4</v>
      </c>
      <c r="F56" s="36">
        <v>172.71</v>
      </c>
      <c r="G56" s="57">
        <v>172.71187394100002</v>
      </c>
      <c r="H56" s="38">
        <f t="shared" ref="H56:H60" si="25">F56-G56</f>
        <v>-1.8739410000137013E-3</v>
      </c>
      <c r="I56" s="36">
        <v>34099</v>
      </c>
      <c r="J56" s="54">
        <v>34099</v>
      </c>
      <c r="K56" s="41">
        <f t="shared" ref="K56:K60" si="26">I56-J56</f>
        <v>0</v>
      </c>
      <c r="L56" s="36">
        <v>46850</v>
      </c>
      <c r="M56" s="58">
        <v>46850</v>
      </c>
      <c r="N56" s="41">
        <f t="shared" ref="N56:N60" si="27">L56-M56</f>
        <v>0</v>
      </c>
    </row>
    <row r="57" spans="1:14">
      <c r="A57" s="34"/>
      <c r="B57" s="35" t="s">
        <v>5</v>
      </c>
      <c r="C57" s="36">
        <v>311.14999999999998</v>
      </c>
      <c r="D57" s="59">
        <v>387.01466527181691</v>
      </c>
      <c r="E57" s="38">
        <f t="shared" si="24"/>
        <v>-75.864665271816932</v>
      </c>
      <c r="F57" s="36">
        <v>508.39</v>
      </c>
      <c r="G57" s="57">
        <v>508.39284823018897</v>
      </c>
      <c r="H57" s="38">
        <f t="shared" si="25"/>
        <v>-2.8482301889880546E-3</v>
      </c>
      <c r="I57" s="36">
        <v>12</v>
      </c>
      <c r="J57" s="60">
        <v>320</v>
      </c>
      <c r="K57" s="41">
        <f t="shared" si="26"/>
        <v>-308</v>
      </c>
      <c r="L57" s="36">
        <v>14</v>
      </c>
      <c r="M57" s="58">
        <v>14</v>
      </c>
      <c r="N57" s="41">
        <f t="shared" si="27"/>
        <v>0</v>
      </c>
    </row>
    <row r="58" spans="1:14">
      <c r="A58" s="34"/>
      <c r="B58" s="35" t="s">
        <v>6</v>
      </c>
      <c r="C58" s="36">
        <v>0</v>
      </c>
      <c r="D58" s="37">
        <v>0</v>
      </c>
      <c r="E58" s="38">
        <f t="shared" si="24"/>
        <v>0</v>
      </c>
      <c r="F58" s="36">
        <v>0</v>
      </c>
      <c r="G58" s="51">
        <v>0</v>
      </c>
      <c r="H58" s="38">
        <f t="shared" si="25"/>
        <v>0</v>
      </c>
      <c r="I58" s="36">
        <v>0</v>
      </c>
      <c r="J58" s="40">
        <v>0</v>
      </c>
      <c r="K58" s="41">
        <f t="shared" si="26"/>
        <v>0</v>
      </c>
      <c r="L58" s="36">
        <v>0</v>
      </c>
      <c r="M58" s="52">
        <v>0</v>
      </c>
      <c r="N58" s="41">
        <f t="shared" si="27"/>
        <v>0</v>
      </c>
    </row>
    <row r="59" spans="1:14">
      <c r="A59" s="34"/>
      <c r="B59" s="35" t="s">
        <v>25</v>
      </c>
      <c r="C59" s="36">
        <v>75.87</v>
      </c>
      <c r="D59" s="37">
        <v>0</v>
      </c>
      <c r="E59" s="38">
        <f t="shared" si="24"/>
        <v>75.87</v>
      </c>
      <c r="F59" s="36">
        <v>164.57</v>
      </c>
      <c r="G59" s="39">
        <v>164.57301198342503</v>
      </c>
      <c r="H59" s="38">
        <f t="shared" si="25"/>
        <v>-3.0119834250399435E-3</v>
      </c>
      <c r="I59" s="36">
        <v>308</v>
      </c>
      <c r="J59" s="40">
        <v>0</v>
      </c>
      <c r="K59" s="41">
        <f t="shared" si="26"/>
        <v>308</v>
      </c>
      <c r="L59" s="36">
        <v>766</v>
      </c>
      <c r="M59" s="42">
        <v>766</v>
      </c>
      <c r="N59" s="41">
        <f t="shared" si="27"/>
        <v>0</v>
      </c>
    </row>
    <row r="60" spans="1:14" s="29" customFormat="1" ht="15">
      <c r="A60" s="30"/>
      <c r="B60" s="43"/>
      <c r="C60" s="44">
        <f>C55+C56+C57+C58+C59</f>
        <v>502.74</v>
      </c>
      <c r="D60" s="45">
        <f>D55+D56+D57+D58+D59</f>
        <v>502.73773765881691</v>
      </c>
      <c r="E60" s="46">
        <f t="shared" si="24"/>
        <v>2.2623411830977602E-3</v>
      </c>
      <c r="F60" s="44">
        <f>F55+F56+F57+F58+F59</f>
        <v>867.66000000000008</v>
      </c>
      <c r="G60" s="45">
        <f>G55+G56+G57+G58+G59</f>
        <v>867.67225255461403</v>
      </c>
      <c r="H60" s="46">
        <f t="shared" si="25"/>
        <v>-1.2252554613951361E-2</v>
      </c>
      <c r="I60" s="44">
        <f>I55+I56+I57+I58+I59</f>
        <v>36513</v>
      </c>
      <c r="J60" s="47">
        <f>J55+J56+J57+J58+J59</f>
        <v>36513</v>
      </c>
      <c r="K60" s="48">
        <f t="shared" si="26"/>
        <v>0</v>
      </c>
      <c r="L60" s="44">
        <f>L55+L56+L57+L58+L59</f>
        <v>52314</v>
      </c>
      <c r="M60" s="47">
        <f>M55+M56+M57+M58+M59</f>
        <v>52314</v>
      </c>
      <c r="N60" s="48">
        <f t="shared" si="27"/>
        <v>0</v>
      </c>
    </row>
    <row r="61" spans="1:14">
      <c r="A61" s="34"/>
      <c r="B61" s="35"/>
      <c r="C61" s="36"/>
      <c r="D61" s="37"/>
      <c r="E61" s="38"/>
      <c r="F61" s="36"/>
      <c r="G61" s="39"/>
      <c r="H61" s="38"/>
      <c r="I61" s="36"/>
      <c r="J61" s="40"/>
      <c r="K61" s="41"/>
      <c r="L61" s="36"/>
      <c r="M61" s="42"/>
      <c r="N61" s="41"/>
    </row>
    <row r="62" spans="1:14" s="29" customFormat="1" ht="15">
      <c r="A62" s="30">
        <v>8</v>
      </c>
      <c r="B62" s="31" t="s">
        <v>34</v>
      </c>
      <c r="C62" s="36"/>
      <c r="D62" s="32"/>
      <c r="E62" s="49"/>
      <c r="F62" s="36"/>
      <c r="G62" s="32"/>
      <c r="H62" s="49"/>
      <c r="I62" s="36"/>
      <c r="J62" s="32"/>
      <c r="K62" s="50"/>
      <c r="L62" s="36"/>
      <c r="M62" s="32"/>
      <c r="N62" s="50"/>
    </row>
    <row r="63" spans="1:14">
      <c r="A63" s="34"/>
      <c r="B63" s="35" t="s">
        <v>3</v>
      </c>
      <c r="C63" s="36">
        <v>7.52</v>
      </c>
      <c r="D63" s="61">
        <v>7.518472721000002</v>
      </c>
      <c r="E63" s="38">
        <f>C63-D63</f>
        <v>1.5272789999976055E-3</v>
      </c>
      <c r="F63" s="36">
        <v>9.09</v>
      </c>
      <c r="G63" s="39">
        <v>9.0917452440000019</v>
      </c>
      <c r="H63" s="38">
        <f>F63-G63</f>
        <v>-1.7452440000020886E-3</v>
      </c>
      <c r="I63" s="36">
        <v>233</v>
      </c>
      <c r="J63" s="62">
        <v>233</v>
      </c>
      <c r="K63" s="41">
        <f>I63-J63</f>
        <v>0</v>
      </c>
      <c r="L63" s="36">
        <v>711</v>
      </c>
      <c r="M63" s="42">
        <v>711</v>
      </c>
      <c r="N63" s="41">
        <f>L63-M63</f>
        <v>0</v>
      </c>
    </row>
    <row r="64" spans="1:14">
      <c r="A64" s="34"/>
      <c r="B64" s="35" t="s">
        <v>4</v>
      </c>
      <c r="C64" s="36">
        <v>65.78</v>
      </c>
      <c r="D64" s="61">
        <v>65.784743035000673</v>
      </c>
      <c r="E64" s="38">
        <f t="shared" ref="E64:E68" si="28">C64-D64</f>
        <v>-4.7430350006720801E-3</v>
      </c>
      <c r="F64" s="36">
        <v>94.31</v>
      </c>
      <c r="G64" s="57">
        <v>94.310013575999761</v>
      </c>
      <c r="H64" s="38">
        <f t="shared" ref="H64:H68" si="29">F64-G64</f>
        <v>-1.3575999759041224E-5</v>
      </c>
      <c r="I64" s="36">
        <v>19158</v>
      </c>
      <c r="J64" s="62">
        <v>19158</v>
      </c>
      <c r="K64" s="41">
        <f t="shared" ref="K64:K68" si="30">I64-J64</f>
        <v>0</v>
      </c>
      <c r="L64" s="36">
        <v>26795</v>
      </c>
      <c r="M64" s="58">
        <v>26795</v>
      </c>
      <c r="N64" s="41">
        <f t="shared" ref="N64:N68" si="31">L64-M64</f>
        <v>0</v>
      </c>
    </row>
    <row r="65" spans="1:14">
      <c r="A65" s="34"/>
      <c r="B65" s="35" t="s">
        <v>5</v>
      </c>
      <c r="C65" s="36">
        <v>10.48</v>
      </c>
      <c r="D65" s="61">
        <v>10.475672536999998</v>
      </c>
      <c r="E65" s="38">
        <f t="shared" si="28"/>
        <v>4.3274630000027514E-3</v>
      </c>
      <c r="F65" s="36">
        <v>18.670000000000002</v>
      </c>
      <c r="G65" s="57">
        <v>18.667444265</v>
      </c>
      <c r="H65" s="38">
        <f t="shared" si="29"/>
        <v>2.5557350000013912E-3</v>
      </c>
      <c r="I65" s="36">
        <v>0</v>
      </c>
      <c r="J65" s="62">
        <v>0</v>
      </c>
      <c r="K65" s="41">
        <f t="shared" si="30"/>
        <v>0</v>
      </c>
      <c r="L65" s="36">
        <v>0</v>
      </c>
      <c r="M65" s="58">
        <v>0</v>
      </c>
      <c r="N65" s="41">
        <f t="shared" si="31"/>
        <v>0</v>
      </c>
    </row>
    <row r="66" spans="1:14">
      <c r="A66" s="34"/>
      <c r="B66" s="35" t="s">
        <v>6</v>
      </c>
      <c r="C66" s="36">
        <v>0.98</v>
      </c>
      <c r="D66" s="37">
        <v>20.45227277699454</v>
      </c>
      <c r="E66" s="38">
        <f t="shared" si="28"/>
        <v>-19.47227277699454</v>
      </c>
      <c r="F66" s="36">
        <v>9.68</v>
      </c>
      <c r="G66" s="57">
        <v>9.6828967000000006</v>
      </c>
      <c r="H66" s="38">
        <f t="shared" si="29"/>
        <v>-2.8967000000008625E-3</v>
      </c>
      <c r="I66" s="36">
        <v>3</v>
      </c>
      <c r="J66" s="40">
        <v>63</v>
      </c>
      <c r="K66" s="41">
        <f t="shared" si="30"/>
        <v>-60</v>
      </c>
      <c r="L66" s="36">
        <v>9</v>
      </c>
      <c r="M66" s="58">
        <v>9</v>
      </c>
      <c r="N66" s="41">
        <f t="shared" si="31"/>
        <v>0</v>
      </c>
    </row>
    <row r="67" spans="1:14">
      <c r="A67" s="34"/>
      <c r="B67" s="35" t="s">
        <v>25</v>
      </c>
      <c r="C67" s="36">
        <v>19.47</v>
      </c>
      <c r="D67" s="37">
        <v>0</v>
      </c>
      <c r="E67" s="38">
        <f t="shared" si="28"/>
        <v>19.47</v>
      </c>
      <c r="F67" s="36">
        <v>12.94</v>
      </c>
      <c r="G67" s="57">
        <v>12.936288601479458</v>
      </c>
      <c r="H67" s="38">
        <f t="shared" si="29"/>
        <v>3.7113985205419198E-3</v>
      </c>
      <c r="I67" s="36">
        <v>60</v>
      </c>
      <c r="J67" s="40">
        <v>0</v>
      </c>
      <c r="K67" s="41">
        <f t="shared" si="30"/>
        <v>60</v>
      </c>
      <c r="L67" s="36">
        <v>36</v>
      </c>
      <c r="M67" s="58">
        <v>36</v>
      </c>
      <c r="N67" s="41">
        <f t="shared" si="31"/>
        <v>0</v>
      </c>
    </row>
    <row r="68" spans="1:14" s="29" customFormat="1" ht="15">
      <c r="A68" s="30"/>
      <c r="B68" s="43"/>
      <c r="C68" s="44">
        <f>C63+C64+C65+C66+C67</f>
        <v>104.23</v>
      </c>
      <c r="D68" s="45">
        <f>D63+D64+D65+D66+D67</f>
        <v>104.23116106999521</v>
      </c>
      <c r="E68" s="46">
        <f t="shared" si="28"/>
        <v>-1.1610699952058212E-3</v>
      </c>
      <c r="F68" s="44">
        <f>F63+F64+F65+F66+F67</f>
        <v>144.69</v>
      </c>
      <c r="G68" s="45">
        <f>G63+G64+G65+G66+G67</f>
        <v>144.6883883864792</v>
      </c>
      <c r="H68" s="46">
        <f t="shared" si="29"/>
        <v>1.6116135207937532E-3</v>
      </c>
      <c r="I68" s="44">
        <f>I63+I64+I65+I66+I67</f>
        <v>19454</v>
      </c>
      <c r="J68" s="47">
        <f>J63+J64+J65+J66+J67</f>
        <v>19454</v>
      </c>
      <c r="K68" s="48">
        <f t="shared" si="30"/>
        <v>0</v>
      </c>
      <c r="L68" s="44">
        <f>L63+L64+L65+L66+L67</f>
        <v>27551</v>
      </c>
      <c r="M68" s="47">
        <f>M63+M64+M65+M66+M67</f>
        <v>27551</v>
      </c>
      <c r="N68" s="48">
        <f t="shared" si="31"/>
        <v>0</v>
      </c>
    </row>
    <row r="69" spans="1:14">
      <c r="A69" s="34"/>
      <c r="B69" s="35"/>
      <c r="C69" s="36"/>
      <c r="D69" s="37"/>
      <c r="E69" s="38"/>
      <c r="F69" s="36"/>
      <c r="G69" s="57"/>
      <c r="H69" s="38"/>
      <c r="I69" s="36"/>
      <c r="J69" s="40"/>
      <c r="K69" s="41"/>
      <c r="L69" s="36"/>
      <c r="M69" s="58"/>
      <c r="N69" s="41"/>
    </row>
    <row r="70" spans="1:14" s="63" customFormat="1" ht="15">
      <c r="A70" s="30">
        <v>9</v>
      </c>
      <c r="B70" s="31" t="s">
        <v>20</v>
      </c>
      <c r="C70" s="36"/>
      <c r="D70" s="32"/>
      <c r="E70" s="49"/>
      <c r="F70" s="36"/>
      <c r="G70" s="32"/>
      <c r="H70" s="49"/>
      <c r="I70" s="36"/>
      <c r="J70" s="32"/>
      <c r="K70" s="50"/>
      <c r="L70" s="36"/>
      <c r="M70" s="32"/>
      <c r="N70" s="50"/>
    </row>
    <row r="71" spans="1:14" s="66" customFormat="1">
      <c r="A71" s="34"/>
      <c r="B71" s="35" t="s">
        <v>3</v>
      </c>
      <c r="C71" s="36">
        <v>206.98</v>
      </c>
      <c r="D71" s="64">
        <v>206.97788038000002</v>
      </c>
      <c r="E71" s="38">
        <f>C71-D71</f>
        <v>2.1196199999735654E-3</v>
      </c>
      <c r="F71" s="36">
        <v>19.079999999999998</v>
      </c>
      <c r="G71" s="57">
        <v>19.077341993999998</v>
      </c>
      <c r="H71" s="38">
        <f>F71-G71</f>
        <v>2.6580060000007677E-3</v>
      </c>
      <c r="I71" s="36">
        <v>285</v>
      </c>
      <c r="J71" s="65">
        <v>285</v>
      </c>
      <c r="K71" s="41">
        <f>I71-J71</f>
        <v>0</v>
      </c>
      <c r="L71" s="36">
        <v>292</v>
      </c>
      <c r="M71" s="58">
        <v>292</v>
      </c>
      <c r="N71" s="41">
        <f>L71-M71</f>
        <v>0</v>
      </c>
    </row>
    <row r="72" spans="1:14" s="66" customFormat="1">
      <c r="A72" s="34"/>
      <c r="B72" s="35" t="s">
        <v>4</v>
      </c>
      <c r="C72" s="36">
        <v>324.88</v>
      </c>
      <c r="D72" s="64">
        <v>324.88155582899998</v>
      </c>
      <c r="E72" s="38">
        <f t="shared" ref="E72:E76" si="32">C72-D72</f>
        <v>-1.5558289999830777E-3</v>
      </c>
      <c r="F72" s="36">
        <v>319.63</v>
      </c>
      <c r="G72" s="57">
        <v>319.62536685800001</v>
      </c>
      <c r="H72" s="38">
        <f t="shared" ref="H72:H76" si="33">F72-G72</f>
        <v>4.6331419999887657E-3</v>
      </c>
      <c r="I72" s="36">
        <v>104069</v>
      </c>
      <c r="J72" s="65">
        <v>104069</v>
      </c>
      <c r="K72" s="41">
        <f t="shared" ref="K72:K76" si="34">I72-J72</f>
        <v>0</v>
      </c>
      <c r="L72" s="36">
        <v>111867</v>
      </c>
      <c r="M72" s="58">
        <v>111867</v>
      </c>
      <c r="N72" s="41">
        <f t="shared" ref="N72:N76" si="35">L72-M72</f>
        <v>0</v>
      </c>
    </row>
    <row r="73" spans="1:14" s="66" customFormat="1">
      <c r="A73" s="34"/>
      <c r="B73" s="35" t="s">
        <v>5</v>
      </c>
      <c r="C73" s="36">
        <v>0</v>
      </c>
      <c r="D73" s="64">
        <v>0</v>
      </c>
      <c r="E73" s="38">
        <f t="shared" si="32"/>
        <v>0</v>
      </c>
      <c r="F73" s="36">
        <v>0.25</v>
      </c>
      <c r="G73" s="39">
        <v>0.24548562999999998</v>
      </c>
      <c r="H73" s="38">
        <f t="shared" si="33"/>
        <v>4.5143700000000175E-3</v>
      </c>
      <c r="I73" s="36">
        <v>0</v>
      </c>
      <c r="J73" s="65">
        <v>0</v>
      </c>
      <c r="K73" s="41">
        <f t="shared" si="34"/>
        <v>0</v>
      </c>
      <c r="L73" s="36">
        <v>0</v>
      </c>
      <c r="M73" s="42">
        <v>0</v>
      </c>
      <c r="N73" s="41">
        <f t="shared" si="35"/>
        <v>0</v>
      </c>
    </row>
    <row r="74" spans="1:14" s="66" customFormat="1">
      <c r="A74" s="34"/>
      <c r="B74" s="35" t="s">
        <v>6</v>
      </c>
      <c r="C74" s="36">
        <v>17.07</v>
      </c>
      <c r="D74" s="64">
        <v>31.029780949587433</v>
      </c>
      <c r="E74" s="38">
        <f t="shared" si="32"/>
        <v>-13.959780949587433</v>
      </c>
      <c r="F74" s="36">
        <v>44.92</v>
      </c>
      <c r="G74" s="67">
        <v>44.924589502345299</v>
      </c>
      <c r="H74" s="38">
        <f t="shared" si="33"/>
        <v>-4.5895023452970918E-3</v>
      </c>
      <c r="I74" s="36">
        <v>154</v>
      </c>
      <c r="J74" s="65">
        <v>154</v>
      </c>
      <c r="K74" s="41">
        <f t="shared" si="34"/>
        <v>0</v>
      </c>
      <c r="L74" s="36">
        <v>144</v>
      </c>
      <c r="M74" s="68">
        <v>144</v>
      </c>
      <c r="N74" s="41">
        <f t="shared" si="35"/>
        <v>0</v>
      </c>
    </row>
    <row r="75" spans="1:14" s="66" customFormat="1">
      <c r="A75" s="34"/>
      <c r="B75" s="35" t="s">
        <v>25</v>
      </c>
      <c r="C75" s="36">
        <v>13.96</v>
      </c>
      <c r="D75" s="64">
        <v>0</v>
      </c>
      <c r="E75" s="38">
        <f t="shared" si="32"/>
        <v>13.96</v>
      </c>
      <c r="F75" s="36">
        <v>17.84</v>
      </c>
      <c r="G75" s="39">
        <v>17.843249590678486</v>
      </c>
      <c r="H75" s="38">
        <f t="shared" si="33"/>
        <v>-3.2495906784859585E-3</v>
      </c>
      <c r="I75" s="36">
        <v>0</v>
      </c>
      <c r="J75" s="65">
        <v>0</v>
      </c>
      <c r="K75" s="41">
        <f t="shared" si="34"/>
        <v>0</v>
      </c>
      <c r="L75" s="36">
        <v>0</v>
      </c>
      <c r="M75" s="42">
        <v>0</v>
      </c>
      <c r="N75" s="41">
        <f t="shared" si="35"/>
        <v>0</v>
      </c>
    </row>
    <row r="76" spans="1:14" s="63" customFormat="1" ht="15">
      <c r="A76" s="30"/>
      <c r="B76" s="43"/>
      <c r="C76" s="44">
        <f>C71+C72+C73+C74+C75</f>
        <v>562.8900000000001</v>
      </c>
      <c r="D76" s="45">
        <f>D71+D72+D73+D74+D75</f>
        <v>562.88921715858748</v>
      </c>
      <c r="E76" s="46">
        <f t="shared" si="32"/>
        <v>7.8284141261519835E-4</v>
      </c>
      <c r="F76" s="44">
        <f>F71+F72+F73+F74+F75</f>
        <v>401.71999999999997</v>
      </c>
      <c r="G76" s="45">
        <f>G71+G72+G73+G74+G75</f>
        <v>401.71603357502386</v>
      </c>
      <c r="H76" s="46">
        <f t="shared" si="33"/>
        <v>3.9664249761131032E-3</v>
      </c>
      <c r="I76" s="44">
        <f>I71+I72+I73+I74+I75</f>
        <v>104508</v>
      </c>
      <c r="J76" s="47">
        <f>J71+J72+J73+J74+J75</f>
        <v>104508</v>
      </c>
      <c r="K76" s="48">
        <f t="shared" si="34"/>
        <v>0</v>
      </c>
      <c r="L76" s="44">
        <f>L71+L72+L73+L74+L75</f>
        <v>112303</v>
      </c>
      <c r="M76" s="47">
        <f>M71+M72+M73+M74+M75</f>
        <v>112303</v>
      </c>
      <c r="N76" s="48">
        <f t="shared" si="35"/>
        <v>0</v>
      </c>
    </row>
    <row r="77" spans="1:14" s="66" customFormat="1">
      <c r="A77" s="34"/>
      <c r="B77" s="35"/>
      <c r="C77" s="36"/>
      <c r="D77" s="64"/>
      <c r="E77" s="69"/>
      <c r="F77" s="36"/>
      <c r="G77" s="39"/>
      <c r="H77" s="69"/>
      <c r="I77" s="36"/>
      <c r="J77" s="65"/>
      <c r="K77" s="70"/>
      <c r="L77" s="36"/>
      <c r="M77" s="42"/>
      <c r="N77" s="70"/>
    </row>
    <row r="78" spans="1:14" s="73" customFormat="1" ht="15">
      <c r="A78" s="71">
        <v>10</v>
      </c>
      <c r="B78" s="72" t="s">
        <v>17</v>
      </c>
      <c r="C78" s="36"/>
      <c r="D78" s="32"/>
      <c r="E78" s="49"/>
      <c r="F78" s="36"/>
      <c r="G78" s="32"/>
      <c r="H78" s="49"/>
      <c r="I78" s="36"/>
      <c r="J78" s="32"/>
      <c r="K78" s="50"/>
      <c r="L78" s="36"/>
      <c r="M78" s="32"/>
      <c r="N78" s="50"/>
    </row>
    <row r="79" spans="1:14">
      <c r="A79" s="34"/>
      <c r="B79" s="35" t="s">
        <v>3</v>
      </c>
      <c r="C79" s="36">
        <v>4.7699999999999996</v>
      </c>
      <c r="D79" s="37">
        <v>4.7733895420000003</v>
      </c>
      <c r="E79" s="38">
        <f>C79-D79</f>
        <v>-3.3895420000007448E-3</v>
      </c>
      <c r="F79" s="36">
        <v>4.78</v>
      </c>
      <c r="G79" s="39">
        <v>4.7809544640000006</v>
      </c>
      <c r="H79" s="38">
        <f>F79-G79</f>
        <v>-9.5446400000032128E-4</v>
      </c>
      <c r="I79" s="36">
        <v>912</v>
      </c>
      <c r="J79" s="40">
        <v>912</v>
      </c>
      <c r="K79" s="41">
        <f>I79-J79</f>
        <v>0</v>
      </c>
      <c r="L79" s="36">
        <v>611</v>
      </c>
      <c r="M79" s="42">
        <v>611</v>
      </c>
      <c r="N79" s="41">
        <f>L79-M79</f>
        <v>0</v>
      </c>
    </row>
    <row r="80" spans="1:14">
      <c r="A80" s="34"/>
      <c r="B80" s="35" t="s">
        <v>4</v>
      </c>
      <c r="C80" s="36">
        <v>70.06</v>
      </c>
      <c r="D80" s="37">
        <v>70.061342417000006</v>
      </c>
      <c r="E80" s="38">
        <f t="shared" ref="E80:E84" si="36">C80-D80</f>
        <v>-1.3424170000035929E-3</v>
      </c>
      <c r="F80" s="36">
        <v>121.12</v>
      </c>
      <c r="G80" s="51">
        <v>121.12481629899997</v>
      </c>
      <c r="H80" s="38">
        <f t="shared" ref="H80:H84" si="37">F80-G80</f>
        <v>-4.8162989999696038E-3</v>
      </c>
      <c r="I80" s="36">
        <v>19987</v>
      </c>
      <c r="J80" s="40">
        <v>19987</v>
      </c>
      <c r="K80" s="41">
        <f t="shared" ref="K80:K84" si="38">I80-J80</f>
        <v>0</v>
      </c>
      <c r="L80" s="36">
        <v>42313</v>
      </c>
      <c r="M80" s="52">
        <v>42313</v>
      </c>
      <c r="N80" s="41">
        <f t="shared" ref="N80:N84" si="39">L80-M80</f>
        <v>0</v>
      </c>
    </row>
    <row r="81" spans="1:14">
      <c r="A81" s="34"/>
      <c r="B81" s="35" t="s">
        <v>5</v>
      </c>
      <c r="C81" s="36">
        <v>12.41</v>
      </c>
      <c r="D81" s="37">
        <v>12.408772627463257</v>
      </c>
      <c r="E81" s="38">
        <f t="shared" si="36"/>
        <v>1.2273725367428767E-3</v>
      </c>
      <c r="F81" s="36">
        <v>29.59</v>
      </c>
      <c r="G81" s="39">
        <v>29.586573885000004</v>
      </c>
      <c r="H81" s="38">
        <f t="shared" si="37"/>
        <v>3.4261149999963436E-3</v>
      </c>
      <c r="I81" s="36">
        <v>4</v>
      </c>
      <c r="J81" s="40">
        <v>4</v>
      </c>
      <c r="K81" s="41">
        <f t="shared" si="38"/>
        <v>0</v>
      </c>
      <c r="L81" s="36">
        <v>12</v>
      </c>
      <c r="M81" s="42">
        <v>12</v>
      </c>
      <c r="N81" s="41">
        <f t="shared" si="39"/>
        <v>0</v>
      </c>
    </row>
    <row r="82" spans="1:14">
      <c r="A82" s="34"/>
      <c r="B82" s="35" t="s">
        <v>6</v>
      </c>
      <c r="C82" s="36">
        <v>0</v>
      </c>
      <c r="D82" s="37">
        <v>119.25290899999999</v>
      </c>
      <c r="E82" s="38">
        <f t="shared" si="36"/>
        <v>-119.25290899999999</v>
      </c>
      <c r="F82" s="36">
        <v>0</v>
      </c>
      <c r="G82" s="39">
        <v>0</v>
      </c>
      <c r="H82" s="38">
        <f t="shared" si="37"/>
        <v>0</v>
      </c>
      <c r="I82" s="36">
        <v>0</v>
      </c>
      <c r="J82" s="40">
        <v>53</v>
      </c>
      <c r="K82" s="41">
        <f t="shared" si="38"/>
        <v>-53</v>
      </c>
      <c r="L82" s="36">
        <v>0</v>
      </c>
      <c r="M82" s="42">
        <v>0</v>
      </c>
      <c r="N82" s="41">
        <f t="shared" si="39"/>
        <v>0</v>
      </c>
    </row>
    <row r="83" spans="1:14">
      <c r="A83" s="34"/>
      <c r="B83" s="35" t="s">
        <v>25</v>
      </c>
      <c r="C83" s="36">
        <v>119.25</v>
      </c>
      <c r="D83" s="37">
        <v>0</v>
      </c>
      <c r="E83" s="38">
        <f t="shared" si="36"/>
        <v>119.25</v>
      </c>
      <c r="F83" s="36">
        <v>154.76</v>
      </c>
      <c r="G83" s="39">
        <v>154.75764679399998</v>
      </c>
      <c r="H83" s="38">
        <f t="shared" si="37"/>
        <v>2.3532060000093225E-3</v>
      </c>
      <c r="I83" s="36">
        <v>53</v>
      </c>
      <c r="J83" s="40">
        <v>0</v>
      </c>
      <c r="K83" s="41">
        <f t="shared" si="38"/>
        <v>53</v>
      </c>
      <c r="L83" s="36">
        <v>47</v>
      </c>
      <c r="M83" s="42">
        <v>47</v>
      </c>
      <c r="N83" s="41">
        <f t="shared" si="39"/>
        <v>0</v>
      </c>
    </row>
    <row r="84" spans="1:14" s="29" customFormat="1" ht="15">
      <c r="A84" s="30"/>
      <c r="B84" s="43"/>
      <c r="C84" s="44">
        <f>C79+C80+C81+C82+C83</f>
        <v>206.49</v>
      </c>
      <c r="D84" s="45">
        <f>D79+D80+D81+D82+D83</f>
        <v>206.49641358646326</v>
      </c>
      <c r="E84" s="46">
        <f t="shared" si="36"/>
        <v>-6.4135864632532957E-3</v>
      </c>
      <c r="F84" s="44">
        <f>F79+F80+F81+F82+F83</f>
        <v>310.25</v>
      </c>
      <c r="G84" s="45">
        <f>G79+G80+G81+G82+G83</f>
        <v>310.24999144199995</v>
      </c>
      <c r="H84" s="46">
        <f t="shared" si="37"/>
        <v>8.5580000472873508E-6</v>
      </c>
      <c r="I84" s="44">
        <f>I79+I80+I81+I82+I83</f>
        <v>20956</v>
      </c>
      <c r="J84" s="47">
        <f>J79+J80+J81+J82+J83</f>
        <v>20956</v>
      </c>
      <c r="K84" s="48">
        <f t="shared" si="38"/>
        <v>0</v>
      </c>
      <c r="L84" s="44">
        <f>L79+L80+L81+L82+L83</f>
        <v>42983</v>
      </c>
      <c r="M84" s="47">
        <f>M79+M80+M81+M82+M83</f>
        <v>42983</v>
      </c>
      <c r="N84" s="48">
        <f t="shared" si="39"/>
        <v>0</v>
      </c>
    </row>
    <row r="85" spans="1:14">
      <c r="A85" s="34"/>
      <c r="B85" s="35"/>
      <c r="C85" s="36"/>
      <c r="D85" s="37"/>
      <c r="E85" s="38"/>
      <c r="F85" s="36"/>
      <c r="G85" s="39"/>
      <c r="H85" s="38"/>
      <c r="I85" s="36"/>
      <c r="J85" s="40"/>
      <c r="K85" s="41"/>
      <c r="L85" s="36"/>
      <c r="M85" s="42"/>
      <c r="N85" s="41"/>
    </row>
    <row r="86" spans="1:14" s="29" customFormat="1" ht="15">
      <c r="A86" s="30">
        <v>11</v>
      </c>
      <c r="B86" s="31" t="s">
        <v>35</v>
      </c>
      <c r="C86" s="36"/>
      <c r="D86" s="32"/>
      <c r="E86" s="49"/>
      <c r="F86" s="36"/>
      <c r="G86" s="32"/>
      <c r="H86" s="49"/>
      <c r="I86" s="36"/>
      <c r="J86" s="32"/>
      <c r="K86" s="50"/>
      <c r="L86" s="36"/>
      <c r="M86" s="32"/>
      <c r="N86" s="50"/>
    </row>
    <row r="87" spans="1:14">
      <c r="A87" s="34"/>
      <c r="B87" s="35" t="s">
        <v>3</v>
      </c>
      <c r="C87" s="36">
        <v>354.86</v>
      </c>
      <c r="D87" s="37">
        <v>354.86217454400003</v>
      </c>
      <c r="E87" s="38">
        <f>C87-D87</f>
        <v>-2.1745440000131566E-3</v>
      </c>
      <c r="F87" s="36">
        <v>460.55</v>
      </c>
      <c r="G87" s="39">
        <v>460.55016136099999</v>
      </c>
      <c r="H87" s="38">
        <f>F87-G87</f>
        <v>-1.6136099998220743E-4</v>
      </c>
      <c r="I87" s="36">
        <v>143084</v>
      </c>
      <c r="J87" s="40">
        <v>143084</v>
      </c>
      <c r="K87" s="41">
        <f>I87-J87</f>
        <v>0</v>
      </c>
      <c r="L87" s="36">
        <v>12880</v>
      </c>
      <c r="M87" s="42">
        <v>12880</v>
      </c>
      <c r="N87" s="41">
        <f>L87-M87</f>
        <v>0</v>
      </c>
    </row>
    <row r="88" spans="1:14">
      <c r="A88" s="34"/>
      <c r="B88" s="35" t="s">
        <v>4</v>
      </c>
      <c r="C88" s="36">
        <v>1737.58</v>
      </c>
      <c r="D88" s="37">
        <v>1737.5802345660004</v>
      </c>
      <c r="E88" s="38">
        <f t="shared" ref="E88:E92" si="40">C88-D88</f>
        <v>-2.3456600047211396E-4</v>
      </c>
      <c r="F88" s="36">
        <v>2452.89</v>
      </c>
      <c r="G88" s="39">
        <v>2452.8906054909999</v>
      </c>
      <c r="H88" s="38">
        <f t="shared" ref="H88:H92" si="41">F88-G88</f>
        <v>-6.0549099998752354E-4</v>
      </c>
      <c r="I88" s="36">
        <v>447547</v>
      </c>
      <c r="J88" s="40">
        <v>447547</v>
      </c>
      <c r="K88" s="41">
        <f t="shared" ref="K88:K92" si="42">I88-J88</f>
        <v>0</v>
      </c>
      <c r="L88" s="36">
        <v>580030</v>
      </c>
      <c r="M88" s="42">
        <v>580030</v>
      </c>
      <c r="N88" s="41">
        <f t="shared" ref="N88:N92" si="43">L88-M88</f>
        <v>0</v>
      </c>
    </row>
    <row r="89" spans="1:14">
      <c r="A89" s="34"/>
      <c r="B89" s="35" t="s">
        <v>5</v>
      </c>
      <c r="C89" s="36">
        <v>2497.3000000000002</v>
      </c>
      <c r="D89" s="37">
        <v>2591.0174751081272</v>
      </c>
      <c r="E89" s="38">
        <f t="shared" si="40"/>
        <v>-93.717475108127019</v>
      </c>
      <c r="F89" s="36">
        <v>3108.84</v>
      </c>
      <c r="G89" s="39">
        <v>3108.8398551835044</v>
      </c>
      <c r="H89" s="38">
        <f t="shared" si="41"/>
        <v>1.4481649577646749E-4</v>
      </c>
      <c r="I89" s="36">
        <v>65</v>
      </c>
      <c r="J89" s="40">
        <v>454</v>
      </c>
      <c r="K89" s="41">
        <f t="shared" si="42"/>
        <v>-389</v>
      </c>
      <c r="L89" s="36">
        <v>115</v>
      </c>
      <c r="M89" s="42">
        <v>115</v>
      </c>
      <c r="N89" s="41">
        <f t="shared" si="43"/>
        <v>0</v>
      </c>
    </row>
    <row r="90" spans="1:14">
      <c r="A90" s="34"/>
      <c r="B90" s="35" t="s">
        <v>6</v>
      </c>
      <c r="C90" s="36">
        <v>0</v>
      </c>
      <c r="D90" s="37">
        <v>0</v>
      </c>
      <c r="E90" s="38">
        <f t="shared" si="40"/>
        <v>0</v>
      </c>
      <c r="F90" s="36">
        <v>0</v>
      </c>
      <c r="G90" s="51">
        <v>0</v>
      </c>
      <c r="H90" s="38">
        <f t="shared" si="41"/>
        <v>0</v>
      </c>
      <c r="I90" s="36">
        <v>0</v>
      </c>
      <c r="J90" s="40">
        <v>0</v>
      </c>
      <c r="K90" s="41">
        <f t="shared" si="42"/>
        <v>0</v>
      </c>
      <c r="L90" s="36">
        <v>0</v>
      </c>
      <c r="M90" s="52">
        <v>0</v>
      </c>
      <c r="N90" s="41">
        <f t="shared" si="43"/>
        <v>0</v>
      </c>
    </row>
    <row r="91" spans="1:14">
      <c r="A91" s="34"/>
      <c r="B91" s="35" t="s">
        <v>25</v>
      </c>
      <c r="C91" s="36">
        <v>43.13</v>
      </c>
      <c r="D91" s="37">
        <v>0</v>
      </c>
      <c r="E91" s="38">
        <f t="shared" si="40"/>
        <v>43.13</v>
      </c>
      <c r="F91" s="36">
        <v>66.08</v>
      </c>
      <c r="G91" s="57">
        <v>66.08233399300056</v>
      </c>
      <c r="H91" s="38">
        <f t="shared" si="41"/>
        <v>-2.3339930005619181E-3</v>
      </c>
      <c r="I91" s="36">
        <v>148</v>
      </c>
      <c r="J91" s="40">
        <v>0</v>
      </c>
      <c r="K91" s="41">
        <f t="shared" si="42"/>
        <v>148</v>
      </c>
      <c r="L91" s="36">
        <v>242</v>
      </c>
      <c r="M91" s="58">
        <v>242</v>
      </c>
      <c r="N91" s="41">
        <f t="shared" si="43"/>
        <v>0</v>
      </c>
    </row>
    <row r="92" spans="1:14" s="29" customFormat="1" ht="15">
      <c r="A92" s="30"/>
      <c r="B92" s="43"/>
      <c r="C92" s="44">
        <f>C87+C88+C89+C90+C91</f>
        <v>4632.87</v>
      </c>
      <c r="D92" s="45">
        <f>D87+D88+D89+D90+D91</f>
        <v>4683.4598842181276</v>
      </c>
      <c r="E92" s="46">
        <f t="shared" si="40"/>
        <v>-50.589884218127736</v>
      </c>
      <c r="F92" s="44">
        <f>F87+F88+F89+F90+F91</f>
        <v>6088.3600000000006</v>
      </c>
      <c r="G92" s="45">
        <f>G87+G88+G89+G90+G91</f>
        <v>6088.3629560285044</v>
      </c>
      <c r="H92" s="46">
        <f t="shared" si="41"/>
        <v>-2.956028503831476E-3</v>
      </c>
      <c r="I92" s="44">
        <f>I87+I88+I89+I90+I91</f>
        <v>590844</v>
      </c>
      <c r="J92" s="47">
        <f>J87+J88+J89+J90+J91</f>
        <v>591085</v>
      </c>
      <c r="K92" s="48">
        <f t="shared" si="42"/>
        <v>-241</v>
      </c>
      <c r="L92" s="44">
        <f>L87+L88+L89+L90+L91</f>
        <v>593267</v>
      </c>
      <c r="M92" s="47">
        <f>M87+M88+M89+M90+M91</f>
        <v>593267</v>
      </c>
      <c r="N92" s="48">
        <f t="shared" si="43"/>
        <v>0</v>
      </c>
    </row>
    <row r="93" spans="1:14">
      <c r="A93" s="34"/>
      <c r="B93" s="35"/>
      <c r="C93" s="36"/>
      <c r="D93" s="37"/>
      <c r="E93" s="38"/>
      <c r="F93" s="36"/>
      <c r="G93" s="57"/>
      <c r="H93" s="38"/>
      <c r="I93" s="36"/>
      <c r="J93" s="40"/>
      <c r="K93" s="41"/>
      <c r="L93" s="36"/>
      <c r="M93" s="58"/>
      <c r="N93" s="41"/>
    </row>
    <row r="94" spans="1:14" s="29" customFormat="1" ht="15">
      <c r="A94" s="30">
        <v>12</v>
      </c>
      <c r="B94" s="31" t="s">
        <v>36</v>
      </c>
      <c r="C94" s="36"/>
      <c r="D94" s="32"/>
      <c r="E94" s="49"/>
      <c r="F94" s="36"/>
      <c r="G94" s="32"/>
      <c r="H94" s="49"/>
      <c r="I94" s="36"/>
      <c r="J94" s="32"/>
      <c r="K94" s="50"/>
      <c r="L94" s="36"/>
      <c r="M94" s="32"/>
      <c r="N94" s="50"/>
    </row>
    <row r="95" spans="1:14">
      <c r="A95" s="34"/>
      <c r="B95" s="35" t="s">
        <v>3</v>
      </c>
      <c r="C95" s="36">
        <v>384.13</v>
      </c>
      <c r="D95" s="53">
        <v>384.12598602500003</v>
      </c>
      <c r="E95" s="38">
        <f>C95-D95</f>
        <v>4.0139749999639207E-3</v>
      </c>
      <c r="F95" s="36">
        <v>573.04999999999995</v>
      </c>
      <c r="G95" s="39">
        <v>573.0538607200001</v>
      </c>
      <c r="H95" s="38">
        <f>F95-G95</f>
        <v>-3.8607200001479214E-3</v>
      </c>
      <c r="I95" s="36">
        <v>21858</v>
      </c>
      <c r="J95" s="54">
        <v>21858</v>
      </c>
      <c r="K95" s="41">
        <f>I95-J95</f>
        <v>0</v>
      </c>
      <c r="L95" s="36">
        <v>27331</v>
      </c>
      <c r="M95" s="42">
        <v>27331</v>
      </c>
      <c r="N95" s="41">
        <f>L95-M95</f>
        <v>0</v>
      </c>
    </row>
    <row r="96" spans="1:14">
      <c r="A96" s="34"/>
      <c r="B96" s="35" t="s">
        <v>4</v>
      </c>
      <c r="C96" s="36">
        <v>3497.99</v>
      </c>
      <c r="D96" s="53">
        <v>3497.9884767220001</v>
      </c>
      <c r="E96" s="38">
        <f t="shared" ref="E96:E100" si="44">C96-D96</f>
        <v>1.523277999694983E-3</v>
      </c>
      <c r="F96" s="36">
        <v>4621.8999999999996</v>
      </c>
      <c r="G96" s="57">
        <v>4621.9000924100001</v>
      </c>
      <c r="H96" s="38">
        <f t="shared" ref="H96:H100" si="45">F96-G96</f>
        <v>-9.2410000434028916E-5</v>
      </c>
      <c r="I96" s="36">
        <v>383302</v>
      </c>
      <c r="J96" s="54">
        <v>383302</v>
      </c>
      <c r="K96" s="41">
        <f t="shared" ref="K96:K100" si="46">I96-J96</f>
        <v>0</v>
      </c>
      <c r="L96" s="36">
        <v>489781</v>
      </c>
      <c r="M96" s="58">
        <v>489781</v>
      </c>
      <c r="N96" s="41">
        <f t="shared" ref="N96:N100" si="47">L96-M96</f>
        <v>0</v>
      </c>
    </row>
    <row r="97" spans="1:14">
      <c r="A97" s="34"/>
      <c r="B97" s="35" t="s">
        <v>5</v>
      </c>
      <c r="C97" s="36">
        <v>81.27</v>
      </c>
      <c r="D97" s="37">
        <v>593.17569314900004</v>
      </c>
      <c r="E97" s="38">
        <f t="shared" si="44"/>
        <v>-511.90569314900006</v>
      </c>
      <c r="F97" s="36">
        <v>99.4</v>
      </c>
      <c r="G97" s="57">
        <v>99.4038319</v>
      </c>
      <c r="H97" s="38">
        <f t="shared" si="45"/>
        <v>-3.8318999999944481E-3</v>
      </c>
      <c r="I97" s="36">
        <v>72</v>
      </c>
      <c r="J97" s="40">
        <v>476</v>
      </c>
      <c r="K97" s="41">
        <f t="shared" si="46"/>
        <v>-404</v>
      </c>
      <c r="L97" s="36">
        <v>28</v>
      </c>
      <c r="M97" s="58">
        <v>28</v>
      </c>
      <c r="N97" s="41">
        <f t="shared" si="47"/>
        <v>0</v>
      </c>
    </row>
    <row r="98" spans="1:14">
      <c r="A98" s="34"/>
      <c r="B98" s="35" t="s">
        <v>6</v>
      </c>
      <c r="C98" s="36">
        <v>0</v>
      </c>
      <c r="D98" s="37">
        <v>0</v>
      </c>
      <c r="E98" s="38">
        <f t="shared" si="44"/>
        <v>0</v>
      </c>
      <c r="F98" s="36">
        <v>0</v>
      </c>
      <c r="G98" s="57">
        <v>0</v>
      </c>
      <c r="H98" s="38">
        <f t="shared" si="45"/>
        <v>0</v>
      </c>
      <c r="I98" s="36">
        <v>0</v>
      </c>
      <c r="J98" s="40">
        <v>0</v>
      </c>
      <c r="K98" s="41">
        <f t="shared" si="46"/>
        <v>0</v>
      </c>
      <c r="L98" s="36">
        <v>0</v>
      </c>
      <c r="M98" s="58">
        <v>0</v>
      </c>
      <c r="N98" s="41">
        <f t="shared" si="47"/>
        <v>0</v>
      </c>
    </row>
    <row r="99" spans="1:14">
      <c r="A99" s="34"/>
      <c r="B99" s="35" t="s">
        <v>25</v>
      </c>
      <c r="C99" s="36">
        <v>452.99</v>
      </c>
      <c r="D99" s="37">
        <v>0</v>
      </c>
      <c r="E99" s="38">
        <f t="shared" si="44"/>
        <v>452.99</v>
      </c>
      <c r="F99" s="36">
        <v>403.12</v>
      </c>
      <c r="G99" s="57">
        <v>403.11610801999996</v>
      </c>
      <c r="H99" s="38">
        <f t="shared" si="45"/>
        <v>3.8919800000485338E-3</v>
      </c>
      <c r="I99" s="36">
        <v>268</v>
      </c>
      <c r="J99" s="40">
        <v>0</v>
      </c>
      <c r="K99" s="41">
        <f t="shared" si="46"/>
        <v>268</v>
      </c>
      <c r="L99" s="36">
        <v>248</v>
      </c>
      <c r="M99" s="58">
        <v>248</v>
      </c>
      <c r="N99" s="41">
        <f t="shared" si="47"/>
        <v>0</v>
      </c>
    </row>
    <row r="100" spans="1:14" s="29" customFormat="1" ht="15">
      <c r="A100" s="30"/>
      <c r="B100" s="43"/>
      <c r="C100" s="44">
        <f>C95+C96+C97+C98+C99</f>
        <v>4416.38</v>
      </c>
      <c r="D100" s="45">
        <f>D95+D96+D97+D98+D99</f>
        <v>4475.2901558960002</v>
      </c>
      <c r="E100" s="46">
        <f t="shared" si="44"/>
        <v>-58.910155896000106</v>
      </c>
      <c r="F100" s="44">
        <f>F95+F96+F97+F98+F99</f>
        <v>5697.4699999999993</v>
      </c>
      <c r="G100" s="45">
        <f>G95+G96+G97+G98+G99</f>
        <v>5697.4738930499998</v>
      </c>
      <c r="H100" s="46">
        <f t="shared" si="45"/>
        <v>-3.8930500004425994E-3</v>
      </c>
      <c r="I100" s="44">
        <f>I95+I96+I97+I98+I99</f>
        <v>405500</v>
      </c>
      <c r="J100" s="47">
        <f>J95+J96+J97+J98+J99</f>
        <v>405636</v>
      </c>
      <c r="K100" s="48">
        <f t="shared" si="46"/>
        <v>-136</v>
      </c>
      <c r="L100" s="44">
        <f>L95+L96+L97+L98+L99</f>
        <v>517388</v>
      </c>
      <c r="M100" s="47">
        <f>M95+M96+M97+M98+M99</f>
        <v>517388</v>
      </c>
      <c r="N100" s="48">
        <f t="shared" si="47"/>
        <v>0</v>
      </c>
    </row>
    <row r="101" spans="1:14">
      <c r="A101" s="34"/>
      <c r="B101" s="35"/>
      <c r="C101" s="36"/>
      <c r="D101" s="37"/>
      <c r="E101" s="38"/>
      <c r="F101" s="36"/>
      <c r="G101" s="57"/>
      <c r="H101" s="38"/>
      <c r="I101" s="36"/>
      <c r="J101" s="40"/>
      <c r="K101" s="41"/>
      <c r="L101" s="36"/>
      <c r="M101" s="58"/>
      <c r="N101" s="41"/>
    </row>
    <row r="102" spans="1:14" s="29" customFormat="1" ht="15">
      <c r="A102" s="30">
        <v>13</v>
      </c>
      <c r="B102" s="31" t="s">
        <v>37</v>
      </c>
      <c r="C102" s="36"/>
      <c r="D102" s="32"/>
      <c r="E102" s="49"/>
      <c r="F102" s="36"/>
      <c r="G102" s="32"/>
      <c r="H102" s="49"/>
      <c r="I102" s="36"/>
      <c r="J102" s="32"/>
      <c r="K102" s="50"/>
      <c r="L102" s="36"/>
      <c r="M102" s="32"/>
      <c r="N102" s="50"/>
    </row>
    <row r="103" spans="1:14" s="66" customFormat="1">
      <c r="A103" s="34"/>
      <c r="B103" s="35" t="s">
        <v>3</v>
      </c>
      <c r="C103" s="36">
        <v>100.33</v>
      </c>
      <c r="D103" s="37">
        <v>100.32954607400001</v>
      </c>
      <c r="E103" s="38">
        <f>C103-D103</f>
        <v>4.5392599999161121E-4</v>
      </c>
      <c r="F103" s="36">
        <v>185.23</v>
      </c>
      <c r="G103" s="39">
        <v>185.22701860000004</v>
      </c>
      <c r="H103" s="38">
        <f>F103-G103</f>
        <v>2.9813999999532825E-3</v>
      </c>
      <c r="I103" s="36">
        <v>6119</v>
      </c>
      <c r="J103" s="40">
        <v>6119</v>
      </c>
      <c r="K103" s="41">
        <f>I103-J103</f>
        <v>0</v>
      </c>
      <c r="L103" s="36">
        <v>8812</v>
      </c>
      <c r="M103" s="42">
        <v>8812</v>
      </c>
      <c r="N103" s="41">
        <f>L103-M103</f>
        <v>0</v>
      </c>
    </row>
    <row r="104" spans="1:14">
      <c r="A104" s="34"/>
      <c r="B104" s="35" t="s">
        <v>4</v>
      </c>
      <c r="C104" s="36">
        <v>187.22</v>
      </c>
      <c r="D104" s="37">
        <v>187.220644953</v>
      </c>
      <c r="E104" s="38">
        <f t="shared" ref="E104:E108" si="48">C104-D104</f>
        <v>-6.4495300000544376E-4</v>
      </c>
      <c r="F104" s="36">
        <v>238.99</v>
      </c>
      <c r="G104" s="39">
        <v>238.99207381299999</v>
      </c>
      <c r="H104" s="38">
        <f t="shared" ref="H104:H108" si="49">F104-G104</f>
        <v>-2.0738129999813282E-3</v>
      </c>
      <c r="I104" s="36">
        <v>56017</v>
      </c>
      <c r="J104" s="40">
        <v>56017</v>
      </c>
      <c r="K104" s="41">
        <f t="shared" ref="K104:K108" si="50">I104-J104</f>
        <v>0</v>
      </c>
      <c r="L104" s="36">
        <v>59396</v>
      </c>
      <c r="M104" s="42">
        <v>59396</v>
      </c>
      <c r="N104" s="41">
        <f t="shared" ref="N104:N108" si="51">L104-M104</f>
        <v>0</v>
      </c>
    </row>
    <row r="105" spans="1:14">
      <c r="A105" s="34"/>
      <c r="B105" s="35" t="s">
        <v>5</v>
      </c>
      <c r="C105" s="36">
        <v>105.05</v>
      </c>
      <c r="D105" s="37">
        <v>105.049770604</v>
      </c>
      <c r="E105" s="38">
        <f t="shared" si="48"/>
        <v>2.2939599999460825E-4</v>
      </c>
      <c r="F105" s="36">
        <v>56.2</v>
      </c>
      <c r="G105" s="39">
        <v>56.199980695000015</v>
      </c>
      <c r="H105" s="38">
        <f t="shared" si="49"/>
        <v>1.9304999987923566E-5</v>
      </c>
      <c r="I105" s="36">
        <v>40</v>
      </c>
      <c r="J105" s="40">
        <v>40</v>
      </c>
      <c r="K105" s="41">
        <f t="shared" si="50"/>
        <v>0</v>
      </c>
      <c r="L105" s="36">
        <v>15</v>
      </c>
      <c r="M105" s="42">
        <v>15</v>
      </c>
      <c r="N105" s="41">
        <f t="shared" si="51"/>
        <v>0</v>
      </c>
    </row>
    <row r="106" spans="1:14">
      <c r="A106" s="34"/>
      <c r="B106" s="35" t="s">
        <v>6</v>
      </c>
      <c r="C106" s="36">
        <v>2.52</v>
      </c>
      <c r="D106" s="61">
        <v>2.5174278702499997</v>
      </c>
      <c r="E106" s="38">
        <f t="shared" si="48"/>
        <v>2.5721297500003182E-3</v>
      </c>
      <c r="F106" s="36">
        <v>0.71</v>
      </c>
      <c r="G106" s="39">
        <v>0.71089040580001395</v>
      </c>
      <c r="H106" s="38">
        <f t="shared" si="49"/>
        <v>-8.9040580001398251E-4</v>
      </c>
      <c r="I106" s="36">
        <v>0</v>
      </c>
      <c r="J106" s="62">
        <v>0</v>
      </c>
      <c r="K106" s="41">
        <f t="shared" si="50"/>
        <v>0</v>
      </c>
      <c r="L106" s="36">
        <v>0</v>
      </c>
      <c r="M106" s="42">
        <v>0</v>
      </c>
      <c r="N106" s="41">
        <f t="shared" si="51"/>
        <v>0</v>
      </c>
    </row>
    <row r="107" spans="1:14">
      <c r="A107" s="34"/>
      <c r="B107" s="35" t="s">
        <v>25</v>
      </c>
      <c r="C107" s="36">
        <v>0</v>
      </c>
      <c r="D107" s="61">
        <v>0</v>
      </c>
      <c r="E107" s="38">
        <f t="shared" si="48"/>
        <v>0</v>
      </c>
      <c r="F107" s="36">
        <v>0</v>
      </c>
      <c r="G107" s="39">
        <v>0</v>
      </c>
      <c r="H107" s="38">
        <f t="shared" si="49"/>
        <v>0</v>
      </c>
      <c r="I107" s="36">
        <v>0</v>
      </c>
      <c r="J107" s="62">
        <v>0</v>
      </c>
      <c r="K107" s="41">
        <f t="shared" si="50"/>
        <v>0</v>
      </c>
      <c r="L107" s="36">
        <v>0</v>
      </c>
      <c r="M107" s="42">
        <v>0</v>
      </c>
      <c r="N107" s="41">
        <f t="shared" si="51"/>
        <v>0</v>
      </c>
    </row>
    <row r="108" spans="1:14" s="29" customFormat="1" ht="15">
      <c r="A108" s="30"/>
      <c r="B108" s="43"/>
      <c r="C108" s="44">
        <f>C103+C104+C105+C106+C107</f>
        <v>395.12</v>
      </c>
      <c r="D108" s="45">
        <f>D103+D104+D105+D106+D107</f>
        <v>395.11738950124999</v>
      </c>
      <c r="E108" s="46">
        <f t="shared" si="48"/>
        <v>2.6104987500161769E-3</v>
      </c>
      <c r="F108" s="44">
        <f>F103+F104+F105+F106+F107</f>
        <v>481.13</v>
      </c>
      <c r="G108" s="45">
        <f>G103+G104+G105+G106+G107</f>
        <v>481.12996351380002</v>
      </c>
      <c r="H108" s="46">
        <f t="shared" si="49"/>
        <v>3.6486199974206102E-5</v>
      </c>
      <c r="I108" s="44">
        <f>I103+I104+I105+I106+I107</f>
        <v>62176</v>
      </c>
      <c r="J108" s="47">
        <f>J103+J104+J105+J106+J107</f>
        <v>62176</v>
      </c>
      <c r="K108" s="48">
        <f t="shared" si="50"/>
        <v>0</v>
      </c>
      <c r="L108" s="44">
        <f>L103+L104+L105+L106+L107</f>
        <v>68223</v>
      </c>
      <c r="M108" s="47">
        <f>M103+M104+M105+M106+M107</f>
        <v>68223</v>
      </c>
      <c r="N108" s="48">
        <f t="shared" si="51"/>
        <v>0</v>
      </c>
    </row>
    <row r="109" spans="1:14">
      <c r="A109" s="34"/>
      <c r="B109" s="35"/>
      <c r="C109" s="36"/>
      <c r="D109" s="61"/>
      <c r="E109" s="74"/>
      <c r="F109" s="36"/>
      <c r="G109" s="39"/>
      <c r="H109" s="74"/>
      <c r="I109" s="36"/>
      <c r="J109" s="62"/>
      <c r="K109" s="75"/>
      <c r="L109" s="36"/>
      <c r="M109" s="42"/>
      <c r="N109" s="75"/>
    </row>
    <row r="110" spans="1:14" s="29" customFormat="1" ht="15">
      <c r="A110" s="30">
        <v>14</v>
      </c>
      <c r="B110" s="31" t="s">
        <v>38</v>
      </c>
      <c r="C110" s="36"/>
      <c r="D110" s="32"/>
      <c r="E110" s="49"/>
      <c r="F110" s="36"/>
      <c r="G110" s="32"/>
      <c r="H110" s="49"/>
      <c r="I110" s="36"/>
      <c r="J110" s="32"/>
      <c r="K110" s="50"/>
      <c r="L110" s="36"/>
      <c r="M110" s="32"/>
      <c r="N110" s="50"/>
    </row>
    <row r="111" spans="1:14">
      <c r="A111" s="34"/>
      <c r="B111" s="35" t="s">
        <v>3</v>
      </c>
      <c r="C111" s="36">
        <v>7.03</v>
      </c>
      <c r="D111" s="37">
        <v>7.0273832999999994</v>
      </c>
      <c r="E111" s="38">
        <f>C111-D111</f>
        <v>2.6167000000008045E-3</v>
      </c>
      <c r="F111" s="36">
        <v>15.36</v>
      </c>
      <c r="G111" s="39">
        <v>15.358291199999998</v>
      </c>
      <c r="H111" s="38">
        <f>F111-G111</f>
        <v>1.708800000001176E-3</v>
      </c>
      <c r="I111" s="36">
        <v>281</v>
      </c>
      <c r="J111" s="40">
        <v>281</v>
      </c>
      <c r="K111" s="41">
        <f>I111-J111</f>
        <v>0</v>
      </c>
      <c r="L111" s="36">
        <v>2707</v>
      </c>
      <c r="M111" s="42">
        <v>2707</v>
      </c>
      <c r="N111" s="41">
        <f>L111-M111</f>
        <v>0</v>
      </c>
    </row>
    <row r="112" spans="1:14">
      <c r="A112" s="34"/>
      <c r="B112" s="35" t="s">
        <v>4</v>
      </c>
      <c r="C112" s="36">
        <v>169.38</v>
      </c>
      <c r="D112" s="37">
        <v>169.37747939999997</v>
      </c>
      <c r="E112" s="38">
        <f t="shared" ref="E112:E116" si="52">C112-D112</f>
        <v>2.520600000025297E-3</v>
      </c>
      <c r="F112" s="36">
        <v>313.99</v>
      </c>
      <c r="G112" s="51">
        <v>313.99123909999997</v>
      </c>
      <c r="H112" s="38">
        <f t="shared" ref="H112:H116" si="53">F112-G112</f>
        <v>-1.2390999999638552E-3</v>
      </c>
      <c r="I112" s="36">
        <v>63939</v>
      </c>
      <c r="J112" s="40">
        <v>63939</v>
      </c>
      <c r="K112" s="41">
        <f t="shared" ref="K112:K116" si="54">I112-J112</f>
        <v>0</v>
      </c>
      <c r="L112" s="36">
        <v>86393</v>
      </c>
      <c r="M112" s="52">
        <v>86393</v>
      </c>
      <c r="N112" s="41">
        <f t="shared" ref="N112:N116" si="55">L112-M112</f>
        <v>0</v>
      </c>
    </row>
    <row r="113" spans="1:14">
      <c r="A113" s="34"/>
      <c r="B113" s="35" t="s">
        <v>5</v>
      </c>
      <c r="C113" s="36">
        <v>830.24</v>
      </c>
      <c r="D113" s="37">
        <v>890.96426506599994</v>
      </c>
      <c r="E113" s="38">
        <f t="shared" si="52"/>
        <v>-60.72426506599993</v>
      </c>
      <c r="F113" s="36">
        <v>358.55</v>
      </c>
      <c r="G113" s="39">
        <v>358.55211075800565</v>
      </c>
      <c r="H113" s="38">
        <f t="shared" si="53"/>
        <v>-2.1107580056423103E-3</v>
      </c>
      <c r="I113" s="36">
        <v>28</v>
      </c>
      <c r="J113" s="40">
        <v>28</v>
      </c>
      <c r="K113" s="41">
        <f t="shared" si="54"/>
        <v>0</v>
      </c>
      <c r="L113" s="36">
        <v>55</v>
      </c>
      <c r="M113" s="42">
        <v>55</v>
      </c>
      <c r="N113" s="41">
        <f t="shared" si="55"/>
        <v>0</v>
      </c>
    </row>
    <row r="114" spans="1:14">
      <c r="A114" s="34"/>
      <c r="B114" s="35" t="s">
        <v>6</v>
      </c>
      <c r="C114" s="36">
        <v>0</v>
      </c>
      <c r="D114" s="37">
        <v>0</v>
      </c>
      <c r="E114" s="38">
        <f t="shared" si="52"/>
        <v>0</v>
      </c>
      <c r="F114" s="36">
        <v>0</v>
      </c>
      <c r="G114" s="39">
        <v>0</v>
      </c>
      <c r="H114" s="38">
        <f t="shared" si="53"/>
        <v>0</v>
      </c>
      <c r="I114" s="36">
        <v>0</v>
      </c>
      <c r="J114" s="40">
        <v>0</v>
      </c>
      <c r="K114" s="41">
        <f t="shared" si="54"/>
        <v>0</v>
      </c>
      <c r="L114" s="36">
        <v>0</v>
      </c>
      <c r="M114" s="42">
        <v>0</v>
      </c>
      <c r="N114" s="41">
        <f t="shared" si="55"/>
        <v>0</v>
      </c>
    </row>
    <row r="115" spans="1:14">
      <c r="A115" s="34"/>
      <c r="B115" s="35" t="s">
        <v>25</v>
      </c>
      <c r="C115" s="36">
        <v>7.28</v>
      </c>
      <c r="D115" s="37">
        <v>0</v>
      </c>
      <c r="E115" s="38">
        <f t="shared" si="52"/>
        <v>7.28</v>
      </c>
      <c r="F115" s="36">
        <v>0.61</v>
      </c>
      <c r="G115" s="39">
        <v>0.61152399999999996</v>
      </c>
      <c r="H115" s="38">
        <f t="shared" si="53"/>
        <v>-1.5239999999999698E-3</v>
      </c>
      <c r="I115" s="36">
        <v>0</v>
      </c>
      <c r="J115" s="40">
        <v>0</v>
      </c>
      <c r="K115" s="41">
        <f t="shared" si="54"/>
        <v>0</v>
      </c>
      <c r="L115" s="36">
        <v>0</v>
      </c>
      <c r="M115" s="42">
        <v>0</v>
      </c>
      <c r="N115" s="41">
        <f t="shared" si="55"/>
        <v>0</v>
      </c>
    </row>
    <row r="116" spans="1:14" s="29" customFormat="1" ht="15">
      <c r="A116" s="30"/>
      <c r="B116" s="43"/>
      <c r="C116" s="44">
        <f>C111+C112+C113+C114+C115</f>
        <v>1013.93</v>
      </c>
      <c r="D116" s="45">
        <f>D111+D112+D113+D114+D115</f>
        <v>1067.369127766</v>
      </c>
      <c r="E116" s="46">
        <f t="shared" si="52"/>
        <v>-53.43912776600007</v>
      </c>
      <c r="F116" s="44">
        <f>F111+F112+F113+F114+F115</f>
        <v>688.5100000000001</v>
      </c>
      <c r="G116" s="45">
        <f>G111+G112+G113+G114+G115</f>
        <v>688.51316505800571</v>
      </c>
      <c r="H116" s="46">
        <f t="shared" si="53"/>
        <v>-3.1650580056066246E-3</v>
      </c>
      <c r="I116" s="44">
        <f>I111+I112+I113+I114+I115</f>
        <v>64248</v>
      </c>
      <c r="J116" s="47">
        <f>J111+J112+J113+J114+J115</f>
        <v>64248</v>
      </c>
      <c r="K116" s="48">
        <f t="shared" si="54"/>
        <v>0</v>
      </c>
      <c r="L116" s="44">
        <f>L111+L112+L113+L114+L115</f>
        <v>89155</v>
      </c>
      <c r="M116" s="47">
        <f>M111+M112+M113+M114+M115</f>
        <v>89155</v>
      </c>
      <c r="N116" s="48">
        <f t="shared" si="55"/>
        <v>0</v>
      </c>
    </row>
    <row r="117" spans="1:14">
      <c r="A117" s="34"/>
      <c r="B117" s="35"/>
      <c r="C117" s="36"/>
      <c r="D117" s="37"/>
      <c r="E117" s="38"/>
      <c r="F117" s="36"/>
      <c r="G117" s="39"/>
      <c r="H117" s="38"/>
      <c r="I117" s="36"/>
      <c r="J117" s="40"/>
      <c r="K117" s="41"/>
      <c r="L117" s="36"/>
      <c r="M117" s="42"/>
      <c r="N117" s="41"/>
    </row>
    <row r="118" spans="1:14" s="29" customFormat="1" ht="15">
      <c r="A118" s="30">
        <v>15</v>
      </c>
      <c r="B118" s="31" t="s">
        <v>39</v>
      </c>
      <c r="C118" s="36"/>
      <c r="D118" s="32"/>
      <c r="E118" s="49"/>
      <c r="F118" s="36"/>
      <c r="G118" s="32"/>
      <c r="H118" s="49"/>
      <c r="I118" s="36"/>
      <c r="J118" s="32"/>
      <c r="K118" s="50"/>
      <c r="L118" s="36"/>
      <c r="M118" s="32"/>
      <c r="N118" s="50"/>
    </row>
    <row r="119" spans="1:14">
      <c r="A119" s="34"/>
      <c r="B119" s="35" t="s">
        <v>3</v>
      </c>
      <c r="C119" s="36">
        <v>87.47</v>
      </c>
      <c r="D119" s="37">
        <v>87.469529199999997</v>
      </c>
      <c r="E119" s="38">
        <f>C119-D119</f>
        <v>4.7080000000221389E-4</v>
      </c>
      <c r="F119" s="36">
        <v>164.47</v>
      </c>
      <c r="G119" s="39">
        <v>164.46785739999999</v>
      </c>
      <c r="H119" s="38">
        <f>F119-G119</f>
        <v>2.1426000000133172E-3</v>
      </c>
      <c r="I119" s="36">
        <v>17412</v>
      </c>
      <c r="J119" s="40">
        <v>17412</v>
      </c>
      <c r="K119" s="41">
        <f>I119-J119</f>
        <v>0</v>
      </c>
      <c r="L119" s="36">
        <v>29859</v>
      </c>
      <c r="M119" s="42">
        <v>29859</v>
      </c>
      <c r="N119" s="41">
        <f>L119-M119</f>
        <v>0</v>
      </c>
    </row>
    <row r="120" spans="1:14">
      <c r="A120" s="34"/>
      <c r="B120" s="35" t="s">
        <v>4</v>
      </c>
      <c r="C120" s="36">
        <v>484.28</v>
      </c>
      <c r="D120" s="37">
        <v>484.27659299999982</v>
      </c>
      <c r="E120" s="38">
        <f t="shared" ref="E120:E124" si="56">C120-D120</f>
        <v>3.4070000001520384E-3</v>
      </c>
      <c r="F120" s="36">
        <v>669.65</v>
      </c>
      <c r="G120" s="39">
        <v>669.65478569999311</v>
      </c>
      <c r="H120" s="38">
        <f t="shared" ref="H120:H124" si="57">F120-G120</f>
        <v>-4.7856999931354949E-3</v>
      </c>
      <c r="I120" s="36">
        <v>113088</v>
      </c>
      <c r="J120" s="40">
        <v>113085</v>
      </c>
      <c r="K120" s="41">
        <f t="shared" ref="K120:K124" si="58">I120-J120</f>
        <v>3</v>
      </c>
      <c r="L120" s="36">
        <v>133748</v>
      </c>
      <c r="M120" s="42">
        <v>133748</v>
      </c>
      <c r="N120" s="41">
        <f t="shared" ref="N120:N124" si="59">L120-M120</f>
        <v>0</v>
      </c>
    </row>
    <row r="121" spans="1:14">
      <c r="A121" s="34"/>
      <c r="B121" s="35" t="s">
        <v>5</v>
      </c>
      <c r="C121" s="36">
        <v>377.17</v>
      </c>
      <c r="D121" s="37">
        <v>377.16567917417336</v>
      </c>
      <c r="E121" s="38">
        <f t="shared" si="56"/>
        <v>4.3208258266531629E-3</v>
      </c>
      <c r="F121" s="36">
        <v>389.95</v>
      </c>
      <c r="G121" s="39">
        <v>389.95129053200219</v>
      </c>
      <c r="H121" s="38">
        <f t="shared" si="57"/>
        <v>-1.2905320022014166E-3</v>
      </c>
      <c r="I121" s="36">
        <v>52</v>
      </c>
      <c r="J121" s="40">
        <v>52</v>
      </c>
      <c r="K121" s="41">
        <f t="shared" si="58"/>
        <v>0</v>
      </c>
      <c r="L121" s="36">
        <v>82</v>
      </c>
      <c r="M121" s="42">
        <v>82</v>
      </c>
      <c r="N121" s="41">
        <f t="shared" si="59"/>
        <v>0</v>
      </c>
    </row>
    <row r="122" spans="1:14" s="76" customFormat="1">
      <c r="A122" s="34"/>
      <c r="B122" s="35" t="s">
        <v>6</v>
      </c>
      <c r="C122" s="36">
        <v>1.07</v>
      </c>
      <c r="D122" s="37">
        <v>482.00532321428182</v>
      </c>
      <c r="E122" s="38">
        <f t="shared" si="56"/>
        <v>-480.93532321428182</v>
      </c>
      <c r="F122" s="36">
        <v>13.23</v>
      </c>
      <c r="G122" s="51">
        <v>13.229677782999994</v>
      </c>
      <c r="H122" s="38">
        <f t="shared" si="57"/>
        <v>3.2221700000611975E-4</v>
      </c>
      <c r="I122" s="36">
        <v>22</v>
      </c>
      <c r="J122" s="40">
        <v>664</v>
      </c>
      <c r="K122" s="41">
        <f t="shared" si="58"/>
        <v>-642</v>
      </c>
      <c r="L122" s="36">
        <v>35</v>
      </c>
      <c r="M122" s="52">
        <v>35</v>
      </c>
      <c r="N122" s="41">
        <f t="shared" si="59"/>
        <v>0</v>
      </c>
    </row>
    <row r="123" spans="1:14" s="76" customFormat="1">
      <c r="A123" s="34"/>
      <c r="B123" s="35" t="s">
        <v>25</v>
      </c>
      <c r="C123" s="36">
        <v>368.62</v>
      </c>
      <c r="D123" s="37">
        <v>0</v>
      </c>
      <c r="E123" s="38">
        <f t="shared" si="56"/>
        <v>368.62</v>
      </c>
      <c r="F123" s="36">
        <v>362.96</v>
      </c>
      <c r="G123" s="57">
        <v>362.956250399</v>
      </c>
      <c r="H123" s="38">
        <f t="shared" si="57"/>
        <v>3.7496009999813396E-3</v>
      </c>
      <c r="I123" s="36">
        <v>75</v>
      </c>
      <c r="J123" s="40">
        <v>0</v>
      </c>
      <c r="K123" s="41">
        <f t="shared" si="58"/>
        <v>75</v>
      </c>
      <c r="L123" s="36">
        <v>326</v>
      </c>
      <c r="M123" s="58">
        <v>326</v>
      </c>
      <c r="N123" s="41">
        <f t="shared" si="59"/>
        <v>0</v>
      </c>
    </row>
    <row r="124" spans="1:14" s="77" customFormat="1" ht="15">
      <c r="A124" s="30"/>
      <c r="B124" s="43"/>
      <c r="C124" s="44">
        <f>C119+C120+C121+C122+C123</f>
        <v>1318.6100000000001</v>
      </c>
      <c r="D124" s="45">
        <f>D119+D120+D121+D122+D123</f>
        <v>1430.917124588455</v>
      </c>
      <c r="E124" s="46">
        <f t="shared" si="56"/>
        <v>-112.30712458845483</v>
      </c>
      <c r="F124" s="44">
        <f>F119+F120+F121+F122+F123</f>
        <v>1600.26</v>
      </c>
      <c r="G124" s="45">
        <f>G119+G120+G121+G122+G123</f>
        <v>1600.2598618139953</v>
      </c>
      <c r="H124" s="46">
        <f t="shared" si="57"/>
        <v>1.3818600473314291E-4</v>
      </c>
      <c r="I124" s="44">
        <f>I119+I120+I121+I122+I123</f>
        <v>130649</v>
      </c>
      <c r="J124" s="47">
        <f>J119+J120+J121+J122+J123</f>
        <v>131213</v>
      </c>
      <c r="K124" s="48">
        <f t="shared" si="58"/>
        <v>-564</v>
      </c>
      <c r="L124" s="44">
        <f>L119+L120+L121+L122+L123</f>
        <v>164050</v>
      </c>
      <c r="M124" s="47">
        <f>M119+M120+M121+M122+M123</f>
        <v>164050</v>
      </c>
      <c r="N124" s="48">
        <f t="shared" si="59"/>
        <v>0</v>
      </c>
    </row>
    <row r="125" spans="1:14" s="76" customFormat="1">
      <c r="A125" s="34"/>
      <c r="B125" s="35"/>
      <c r="C125" s="36"/>
      <c r="D125" s="37"/>
      <c r="E125" s="38"/>
      <c r="F125" s="36"/>
      <c r="G125" s="57"/>
      <c r="H125" s="38"/>
      <c r="I125" s="36"/>
      <c r="J125" s="40"/>
      <c r="K125" s="41"/>
      <c r="L125" s="36"/>
      <c r="M125" s="58"/>
      <c r="N125" s="41"/>
    </row>
    <row r="126" spans="1:14" s="77" customFormat="1" ht="15">
      <c r="A126" s="30">
        <v>16</v>
      </c>
      <c r="B126" s="31" t="s">
        <v>19</v>
      </c>
      <c r="C126" s="36"/>
      <c r="D126" s="32"/>
      <c r="E126" s="49"/>
      <c r="F126" s="36"/>
      <c r="G126" s="32"/>
      <c r="H126" s="49"/>
      <c r="I126" s="36"/>
      <c r="J126" s="32"/>
      <c r="K126" s="50"/>
      <c r="L126" s="36"/>
      <c r="M126" s="32"/>
      <c r="N126" s="50"/>
    </row>
    <row r="127" spans="1:14" s="76" customFormat="1">
      <c r="A127" s="34"/>
      <c r="B127" s="35" t="s">
        <v>3</v>
      </c>
      <c r="C127" s="36">
        <v>401.07</v>
      </c>
      <c r="D127" s="37">
        <v>401.07473431499966</v>
      </c>
      <c r="E127" s="38">
        <f>C127-D127</f>
        <v>-4.7343149996663669E-3</v>
      </c>
      <c r="F127" s="36">
        <v>466.77</v>
      </c>
      <c r="G127" s="39">
        <v>466.76961128699821</v>
      </c>
      <c r="H127" s="38">
        <f>F127-G127</f>
        <v>3.8871300176879231E-4</v>
      </c>
      <c r="I127" s="36">
        <v>419</v>
      </c>
      <c r="J127" s="40">
        <v>419</v>
      </c>
      <c r="K127" s="41">
        <f>I127-J127</f>
        <v>0</v>
      </c>
      <c r="L127" s="36">
        <v>442</v>
      </c>
      <c r="M127" s="42">
        <v>442</v>
      </c>
      <c r="N127" s="41">
        <f>L127-M127</f>
        <v>0</v>
      </c>
    </row>
    <row r="128" spans="1:14" s="76" customFormat="1">
      <c r="A128" s="34"/>
      <c r="B128" s="35" t="s">
        <v>4</v>
      </c>
      <c r="C128" s="36">
        <v>1243.06</v>
      </c>
      <c r="D128" s="37">
        <v>1243.0577952499998</v>
      </c>
      <c r="E128" s="38">
        <f t="shared" ref="E128:E132" si="60">C128-D128</f>
        <v>2.204750000146305E-3</v>
      </c>
      <c r="F128" s="36">
        <v>1474.65</v>
      </c>
      <c r="G128" s="39">
        <v>1474.6519825950018</v>
      </c>
      <c r="H128" s="38">
        <f t="shared" ref="H128:H132" si="61">F128-G128</f>
        <v>-1.9825950016638672E-3</v>
      </c>
      <c r="I128" s="36">
        <v>250104</v>
      </c>
      <c r="J128" s="40">
        <v>250104</v>
      </c>
      <c r="K128" s="41">
        <f t="shared" ref="K128:K132" si="62">I128-J128</f>
        <v>0</v>
      </c>
      <c r="L128" s="36">
        <v>291204</v>
      </c>
      <c r="M128" s="42">
        <v>291204</v>
      </c>
      <c r="N128" s="41">
        <f t="shared" ref="N128:N132" si="63">L128-M128</f>
        <v>0</v>
      </c>
    </row>
    <row r="129" spans="1:14" s="76" customFormat="1">
      <c r="A129" s="34"/>
      <c r="B129" s="35" t="s">
        <v>5</v>
      </c>
      <c r="C129" s="36">
        <v>173.74</v>
      </c>
      <c r="D129" s="37">
        <v>173.74242021900002</v>
      </c>
      <c r="E129" s="38">
        <f t="shared" si="60"/>
        <v>-2.4202190000153223E-3</v>
      </c>
      <c r="F129" s="36">
        <v>175.8</v>
      </c>
      <c r="G129" s="39">
        <v>175.79761869199999</v>
      </c>
      <c r="H129" s="38">
        <f t="shared" si="61"/>
        <v>2.3813080000252285E-3</v>
      </c>
      <c r="I129" s="36">
        <v>33</v>
      </c>
      <c r="J129" s="40">
        <v>33</v>
      </c>
      <c r="K129" s="41">
        <f t="shared" si="62"/>
        <v>0</v>
      </c>
      <c r="L129" s="36">
        <v>45</v>
      </c>
      <c r="M129" s="42">
        <v>45</v>
      </c>
      <c r="N129" s="41">
        <f t="shared" si="63"/>
        <v>0</v>
      </c>
    </row>
    <row r="130" spans="1:14" s="76" customFormat="1">
      <c r="A130" s="34"/>
      <c r="B130" s="35" t="s">
        <v>6</v>
      </c>
      <c r="C130" s="36">
        <v>0</v>
      </c>
      <c r="D130" s="37">
        <v>48.827270977999987</v>
      </c>
      <c r="E130" s="38">
        <f t="shared" si="60"/>
        <v>-48.827270977999987</v>
      </c>
      <c r="F130" s="36">
        <v>0</v>
      </c>
      <c r="G130" s="39">
        <v>0</v>
      </c>
      <c r="H130" s="38">
        <f t="shared" si="61"/>
        <v>0</v>
      </c>
      <c r="I130" s="36">
        <v>0</v>
      </c>
      <c r="J130" s="40">
        <v>338</v>
      </c>
      <c r="K130" s="41">
        <f t="shared" si="62"/>
        <v>-338</v>
      </c>
      <c r="L130" s="36">
        <v>0</v>
      </c>
      <c r="M130" s="42">
        <v>0</v>
      </c>
      <c r="N130" s="41">
        <f t="shared" si="63"/>
        <v>0</v>
      </c>
    </row>
    <row r="131" spans="1:14" s="76" customFormat="1">
      <c r="A131" s="34"/>
      <c r="B131" s="35" t="s">
        <v>25</v>
      </c>
      <c r="C131" s="36">
        <v>48.83</v>
      </c>
      <c r="D131" s="37">
        <v>0</v>
      </c>
      <c r="E131" s="38">
        <f t="shared" si="60"/>
        <v>48.83</v>
      </c>
      <c r="F131" s="36">
        <v>31.55</v>
      </c>
      <c r="G131" s="39">
        <v>31.545535529000002</v>
      </c>
      <c r="H131" s="38">
        <f t="shared" si="61"/>
        <v>4.4644709999985821E-3</v>
      </c>
      <c r="I131" s="36">
        <v>338</v>
      </c>
      <c r="J131" s="40">
        <v>0</v>
      </c>
      <c r="K131" s="41">
        <f t="shared" si="62"/>
        <v>338</v>
      </c>
      <c r="L131" s="36">
        <v>289</v>
      </c>
      <c r="M131" s="42">
        <v>289</v>
      </c>
      <c r="N131" s="41">
        <f t="shared" si="63"/>
        <v>0</v>
      </c>
    </row>
    <row r="132" spans="1:14" s="77" customFormat="1" ht="15">
      <c r="A132" s="30"/>
      <c r="B132" s="43"/>
      <c r="C132" s="44">
        <f>C127+C128+C129+C130+C131</f>
        <v>1866.6999999999998</v>
      </c>
      <c r="D132" s="45">
        <f>D127+D128+D129+D130+D131</f>
        <v>1866.7022207619993</v>
      </c>
      <c r="E132" s="46">
        <f t="shared" si="60"/>
        <v>-2.2207619995242567E-3</v>
      </c>
      <c r="F132" s="44">
        <f>F127+F128+F129+F130+F131</f>
        <v>2148.7700000000004</v>
      </c>
      <c r="G132" s="45">
        <f>G127+G128+G129+G130+G131</f>
        <v>2148.7647481029999</v>
      </c>
      <c r="H132" s="46">
        <f t="shared" si="61"/>
        <v>5.2518970005621668E-3</v>
      </c>
      <c r="I132" s="44">
        <f>I127+I128+I129+I130+I131</f>
        <v>250894</v>
      </c>
      <c r="J132" s="47">
        <f>J127+J128+J129+J130+J131</f>
        <v>250894</v>
      </c>
      <c r="K132" s="48">
        <f t="shared" si="62"/>
        <v>0</v>
      </c>
      <c r="L132" s="44">
        <f>L127+L128+L129+L130+L131</f>
        <v>291980</v>
      </c>
      <c r="M132" s="47">
        <f>M127+M128+M129+M130+M131</f>
        <v>291980</v>
      </c>
      <c r="N132" s="48">
        <f t="shared" si="63"/>
        <v>0</v>
      </c>
    </row>
    <row r="133" spans="1:14" s="76" customFormat="1">
      <c r="A133" s="34"/>
      <c r="B133" s="35"/>
      <c r="C133" s="36"/>
      <c r="D133" s="37"/>
      <c r="E133" s="38"/>
      <c r="F133" s="36"/>
      <c r="G133" s="39"/>
      <c r="H133" s="38"/>
      <c r="I133" s="36"/>
      <c r="J133" s="40"/>
      <c r="K133" s="41"/>
      <c r="L133" s="36"/>
      <c r="M133" s="42"/>
      <c r="N133" s="41"/>
    </row>
    <row r="134" spans="1:14" s="77" customFormat="1" ht="15">
      <c r="A134" s="30">
        <v>17</v>
      </c>
      <c r="B134" s="31" t="s">
        <v>21</v>
      </c>
      <c r="C134" s="36"/>
      <c r="D134" s="32"/>
      <c r="E134" s="49"/>
      <c r="F134" s="36"/>
      <c r="G134" s="32"/>
      <c r="H134" s="49"/>
      <c r="I134" s="36"/>
      <c r="J134" s="32"/>
      <c r="K134" s="50"/>
      <c r="L134" s="36"/>
      <c r="M134" s="32"/>
      <c r="N134" s="50"/>
    </row>
    <row r="135" spans="1:14" s="76" customFormat="1">
      <c r="A135" s="34"/>
      <c r="B135" s="35" t="s">
        <v>3</v>
      </c>
      <c r="C135" s="36">
        <v>10.27</v>
      </c>
      <c r="D135" s="37">
        <v>10.26544537</v>
      </c>
      <c r="E135" s="38">
        <f>C135-D135</f>
        <v>4.5546299999994488E-3</v>
      </c>
      <c r="F135" s="36">
        <v>24.91</v>
      </c>
      <c r="G135" s="39">
        <v>24.913108349999998</v>
      </c>
      <c r="H135" s="38">
        <f>F135-G135</f>
        <v>-3.1083499999979836E-3</v>
      </c>
      <c r="I135" s="36">
        <v>240</v>
      </c>
      <c r="J135" s="40">
        <v>240</v>
      </c>
      <c r="K135" s="41">
        <f>I135-J135</f>
        <v>0</v>
      </c>
      <c r="L135" s="36">
        <v>555</v>
      </c>
      <c r="M135" s="42">
        <v>555</v>
      </c>
      <c r="N135" s="41">
        <f>L135-M135</f>
        <v>0</v>
      </c>
    </row>
    <row r="136" spans="1:14" s="76" customFormat="1">
      <c r="A136" s="34"/>
      <c r="B136" s="35" t="s">
        <v>4</v>
      </c>
      <c r="C136" s="36">
        <v>522.42999999999995</v>
      </c>
      <c r="D136" s="37">
        <v>522.43078929599994</v>
      </c>
      <c r="E136" s="38">
        <f t="shared" ref="E136:E140" si="64">C136-D136</f>
        <v>-7.892959999935556E-4</v>
      </c>
      <c r="F136" s="36">
        <v>644.84</v>
      </c>
      <c r="G136" s="39">
        <v>644.84141017099989</v>
      </c>
      <c r="H136" s="38">
        <f t="shared" ref="H136:H140" si="65">F136-G136</f>
        <v>-1.4101709998612932E-3</v>
      </c>
      <c r="I136" s="36">
        <v>120787</v>
      </c>
      <c r="J136" s="40">
        <v>120787</v>
      </c>
      <c r="K136" s="41">
        <f t="shared" ref="K136:K140" si="66">I136-J136</f>
        <v>0</v>
      </c>
      <c r="L136" s="36">
        <v>126219</v>
      </c>
      <c r="M136" s="42">
        <v>126219</v>
      </c>
      <c r="N136" s="41">
        <f t="shared" ref="N136:N140" si="67">L136-M136</f>
        <v>0</v>
      </c>
    </row>
    <row r="137" spans="1:14" s="76" customFormat="1">
      <c r="A137" s="34"/>
      <c r="B137" s="35" t="s">
        <v>5</v>
      </c>
      <c r="C137" s="36">
        <v>29.16</v>
      </c>
      <c r="D137" s="37">
        <v>29.155052188999999</v>
      </c>
      <c r="E137" s="38">
        <f t="shared" si="64"/>
        <v>4.9478110000009679E-3</v>
      </c>
      <c r="F137" s="36">
        <v>71.709999999999994</v>
      </c>
      <c r="G137" s="39">
        <v>71.705951900000002</v>
      </c>
      <c r="H137" s="38">
        <f t="shared" si="65"/>
        <v>4.0480999999914502E-3</v>
      </c>
      <c r="I137" s="36">
        <v>0</v>
      </c>
      <c r="J137" s="40">
        <v>0</v>
      </c>
      <c r="K137" s="41">
        <f t="shared" si="66"/>
        <v>0</v>
      </c>
      <c r="L137" s="36">
        <v>0</v>
      </c>
      <c r="M137" s="42">
        <v>0</v>
      </c>
      <c r="N137" s="41">
        <f t="shared" si="67"/>
        <v>0</v>
      </c>
    </row>
    <row r="138" spans="1:14" s="76" customFormat="1">
      <c r="A138" s="34"/>
      <c r="B138" s="35" t="s">
        <v>6</v>
      </c>
      <c r="C138" s="36">
        <v>3.28</v>
      </c>
      <c r="D138" s="37">
        <v>38.052826603</v>
      </c>
      <c r="E138" s="38">
        <f t="shared" si="64"/>
        <v>-34.772826602999999</v>
      </c>
      <c r="F138" s="36">
        <v>1.71</v>
      </c>
      <c r="G138" s="39">
        <v>1.7067108739999997</v>
      </c>
      <c r="H138" s="38">
        <f t="shared" si="65"/>
        <v>3.2891260000003086E-3</v>
      </c>
      <c r="I138" s="36">
        <v>120</v>
      </c>
      <c r="J138" s="40">
        <v>120</v>
      </c>
      <c r="K138" s="41">
        <f t="shared" si="66"/>
        <v>0</v>
      </c>
      <c r="L138" s="36">
        <v>81</v>
      </c>
      <c r="M138" s="42">
        <v>81</v>
      </c>
      <c r="N138" s="41">
        <f t="shared" si="67"/>
        <v>0</v>
      </c>
    </row>
    <row r="139" spans="1:14" s="76" customFormat="1">
      <c r="A139" s="34"/>
      <c r="B139" s="35" t="s">
        <v>25</v>
      </c>
      <c r="C139" s="36">
        <v>34.78</v>
      </c>
      <c r="D139" s="37">
        <v>0</v>
      </c>
      <c r="E139" s="38">
        <f t="shared" si="64"/>
        <v>34.78</v>
      </c>
      <c r="F139" s="36">
        <v>19.78</v>
      </c>
      <c r="G139" s="39">
        <v>19.776672927</v>
      </c>
      <c r="H139" s="38">
        <f t="shared" si="65"/>
        <v>3.327073000001235E-3</v>
      </c>
      <c r="I139" s="36">
        <v>0</v>
      </c>
      <c r="J139" s="40">
        <v>0</v>
      </c>
      <c r="K139" s="41">
        <f t="shared" si="66"/>
        <v>0</v>
      </c>
      <c r="L139" s="36">
        <v>0</v>
      </c>
      <c r="M139" s="42">
        <v>0</v>
      </c>
      <c r="N139" s="41">
        <f t="shared" si="67"/>
        <v>0</v>
      </c>
    </row>
    <row r="140" spans="1:14" s="77" customFormat="1" ht="15">
      <c r="A140" s="30"/>
      <c r="B140" s="43"/>
      <c r="C140" s="44">
        <f>C135+C136+C137+C138+C139</f>
        <v>599.91999999999985</v>
      </c>
      <c r="D140" s="45">
        <f>D135+D136+D137+D138+D139</f>
        <v>599.90411345799987</v>
      </c>
      <c r="E140" s="46">
        <f t="shared" si="64"/>
        <v>1.5886541999975634E-2</v>
      </c>
      <c r="F140" s="44">
        <f>F135+F136+F137+F138+F139</f>
        <v>762.95</v>
      </c>
      <c r="G140" s="45">
        <f>G135+G136+G137+G138+G139</f>
        <v>762.94385422199991</v>
      </c>
      <c r="H140" s="46">
        <f t="shared" si="65"/>
        <v>6.1457780001319406E-3</v>
      </c>
      <c r="I140" s="44">
        <f>I135+I136+I137+I138+I139</f>
        <v>121147</v>
      </c>
      <c r="J140" s="47">
        <f>J135+J136+J137+J138+J139</f>
        <v>121147</v>
      </c>
      <c r="K140" s="48">
        <f t="shared" si="66"/>
        <v>0</v>
      </c>
      <c r="L140" s="44">
        <f>L135+L136+L137+L138+L139</f>
        <v>126855</v>
      </c>
      <c r="M140" s="47">
        <f>M135+M136+M137+M138+M139</f>
        <v>126855</v>
      </c>
      <c r="N140" s="48">
        <f t="shared" si="67"/>
        <v>0</v>
      </c>
    </row>
    <row r="141" spans="1:14" s="76" customFormat="1">
      <c r="A141" s="34"/>
      <c r="B141" s="35"/>
      <c r="C141" s="36"/>
      <c r="D141" s="37"/>
      <c r="E141" s="38"/>
      <c r="F141" s="36"/>
      <c r="G141" s="39"/>
      <c r="H141" s="38"/>
      <c r="I141" s="36"/>
      <c r="J141" s="40"/>
      <c r="K141" s="41"/>
      <c r="L141" s="36"/>
      <c r="M141" s="42"/>
      <c r="N141" s="41"/>
    </row>
    <row r="142" spans="1:14" s="77" customFormat="1" ht="15">
      <c r="A142" s="30">
        <v>18</v>
      </c>
      <c r="B142" s="31" t="s">
        <v>40</v>
      </c>
      <c r="C142" s="36"/>
      <c r="D142" s="32"/>
      <c r="E142" s="49"/>
      <c r="F142" s="36"/>
      <c r="G142" s="32"/>
      <c r="H142" s="49"/>
      <c r="I142" s="36"/>
      <c r="J142" s="32"/>
      <c r="K142" s="50"/>
      <c r="L142" s="36"/>
      <c r="M142" s="32"/>
      <c r="N142" s="50"/>
    </row>
    <row r="143" spans="1:14" s="78" customFormat="1" ht="14.25" customHeight="1">
      <c r="A143" s="34"/>
      <c r="B143" s="35" t="s">
        <v>3</v>
      </c>
      <c r="C143" s="36">
        <v>15.13</v>
      </c>
      <c r="D143" s="37">
        <v>15.1291859</v>
      </c>
      <c r="E143" s="38">
        <f>C143-D143</f>
        <v>8.1410000000126104E-4</v>
      </c>
      <c r="F143" s="36">
        <v>12.08</v>
      </c>
      <c r="G143" s="39">
        <v>12.078252995</v>
      </c>
      <c r="H143" s="38">
        <f>F143-G143</f>
        <v>1.7470050000003567E-3</v>
      </c>
      <c r="I143" s="36">
        <v>642</v>
      </c>
      <c r="J143" s="40">
        <v>642</v>
      </c>
      <c r="K143" s="41">
        <f>I143-J143</f>
        <v>0</v>
      </c>
      <c r="L143" s="36">
        <v>546</v>
      </c>
      <c r="M143" s="42">
        <v>546</v>
      </c>
      <c r="N143" s="41">
        <f>L143-M143</f>
        <v>0</v>
      </c>
    </row>
    <row r="144" spans="1:14" s="76" customFormat="1">
      <c r="A144" s="34"/>
      <c r="B144" s="35" t="s">
        <v>4</v>
      </c>
      <c r="C144" s="36">
        <v>371.89</v>
      </c>
      <c r="D144" s="37">
        <v>371.88720895500001</v>
      </c>
      <c r="E144" s="38">
        <f t="shared" ref="E144:E148" si="68">C144-D144</f>
        <v>2.7910449999808407E-3</v>
      </c>
      <c r="F144" s="36">
        <v>390.9</v>
      </c>
      <c r="G144" s="51">
        <v>390.89979542400005</v>
      </c>
      <c r="H144" s="38">
        <f t="shared" ref="H144:H148" si="69">F144-G144</f>
        <v>2.045759999305119E-4</v>
      </c>
      <c r="I144" s="36">
        <v>158221</v>
      </c>
      <c r="J144" s="40">
        <v>158221</v>
      </c>
      <c r="K144" s="41">
        <f t="shared" ref="K144:K148" si="70">I144-J144</f>
        <v>0</v>
      </c>
      <c r="L144" s="36">
        <v>125811</v>
      </c>
      <c r="M144" s="52">
        <v>125811</v>
      </c>
      <c r="N144" s="41">
        <f t="shared" ref="N144:N148" si="71">L144-M144</f>
        <v>0</v>
      </c>
    </row>
    <row r="145" spans="1:14" s="76" customFormat="1">
      <c r="A145" s="34"/>
      <c r="B145" s="35" t="s">
        <v>5</v>
      </c>
      <c r="C145" s="36">
        <v>12.81</v>
      </c>
      <c r="D145" s="37">
        <v>53.834943136870706</v>
      </c>
      <c r="E145" s="38">
        <f t="shared" si="68"/>
        <v>-41.024943136870704</v>
      </c>
      <c r="F145" s="36">
        <v>17.899999999999999</v>
      </c>
      <c r="G145" s="39">
        <v>17.901928994608696</v>
      </c>
      <c r="H145" s="38">
        <f t="shared" si="69"/>
        <v>-1.9289946086971099E-3</v>
      </c>
      <c r="I145" s="36">
        <v>0</v>
      </c>
      <c r="J145" s="40">
        <v>96</v>
      </c>
      <c r="K145" s="41">
        <f t="shared" si="70"/>
        <v>-96</v>
      </c>
      <c r="L145" s="36">
        <v>2</v>
      </c>
      <c r="M145" s="42">
        <v>2</v>
      </c>
      <c r="N145" s="41">
        <f t="shared" si="71"/>
        <v>0</v>
      </c>
    </row>
    <row r="146" spans="1:14" s="76" customFormat="1">
      <c r="A146" s="34"/>
      <c r="B146" s="35" t="s">
        <v>6</v>
      </c>
      <c r="C146" s="36">
        <v>204.53</v>
      </c>
      <c r="D146" s="37">
        <v>204.52759419806017</v>
      </c>
      <c r="E146" s="38">
        <f t="shared" si="68"/>
        <v>2.4058019398296437E-3</v>
      </c>
      <c r="F146" s="36">
        <v>65.48</v>
      </c>
      <c r="G146" s="39">
        <v>65.484804443270008</v>
      </c>
      <c r="H146" s="38">
        <f t="shared" si="69"/>
        <v>-4.8044432700038442E-3</v>
      </c>
      <c r="I146" s="36">
        <v>26</v>
      </c>
      <c r="J146" s="40">
        <v>26</v>
      </c>
      <c r="K146" s="41">
        <f t="shared" si="70"/>
        <v>0</v>
      </c>
      <c r="L146" s="36">
        <v>24</v>
      </c>
      <c r="M146" s="42">
        <v>24</v>
      </c>
      <c r="N146" s="41">
        <f t="shared" si="71"/>
        <v>0</v>
      </c>
    </row>
    <row r="147" spans="1:14" s="76" customFormat="1">
      <c r="A147" s="34"/>
      <c r="B147" s="35" t="s">
        <v>25</v>
      </c>
      <c r="C147" s="36">
        <v>41.02</v>
      </c>
      <c r="D147" s="37">
        <v>0</v>
      </c>
      <c r="E147" s="38">
        <f t="shared" si="68"/>
        <v>41.02</v>
      </c>
      <c r="F147" s="36">
        <v>15.26</v>
      </c>
      <c r="G147" s="39">
        <v>15.262284471999999</v>
      </c>
      <c r="H147" s="38">
        <f t="shared" si="69"/>
        <v>-2.2844719999994823E-3</v>
      </c>
      <c r="I147" s="36">
        <v>96</v>
      </c>
      <c r="J147" s="40">
        <v>0</v>
      </c>
      <c r="K147" s="41">
        <f t="shared" si="70"/>
        <v>96</v>
      </c>
      <c r="L147" s="36">
        <v>58</v>
      </c>
      <c r="M147" s="42">
        <v>58</v>
      </c>
      <c r="N147" s="41">
        <f t="shared" si="71"/>
        <v>0</v>
      </c>
    </row>
    <row r="148" spans="1:14" s="77" customFormat="1" ht="15">
      <c r="A148" s="30"/>
      <c r="B148" s="43"/>
      <c r="C148" s="44">
        <f>C143+C144+C145+C146+C147</f>
        <v>645.38</v>
      </c>
      <c r="D148" s="45">
        <f>D143+D144+D145+D146+D147</f>
        <v>645.37893218993088</v>
      </c>
      <c r="E148" s="46">
        <f t="shared" si="68"/>
        <v>1.0678100691166037E-3</v>
      </c>
      <c r="F148" s="44">
        <f>F143+F144+F145+F146+F147</f>
        <v>501.61999999999995</v>
      </c>
      <c r="G148" s="45">
        <f>G143+G144+G145+G146+G147</f>
        <v>501.6270663288787</v>
      </c>
      <c r="H148" s="46">
        <f t="shared" si="69"/>
        <v>-7.0663288787500278E-3</v>
      </c>
      <c r="I148" s="44">
        <f>I143+I144+I145+I146+I147</f>
        <v>158985</v>
      </c>
      <c r="J148" s="47">
        <f>J143+J144+J145+J146+J147</f>
        <v>158985</v>
      </c>
      <c r="K148" s="48">
        <f t="shared" si="70"/>
        <v>0</v>
      </c>
      <c r="L148" s="44">
        <f>L143+L144+L145+L146+L147</f>
        <v>126441</v>
      </c>
      <c r="M148" s="47">
        <f>M143+M144+M145+M146+M147</f>
        <v>126441</v>
      </c>
      <c r="N148" s="48">
        <f t="shared" si="71"/>
        <v>0</v>
      </c>
    </row>
    <row r="149" spans="1:14" s="76" customFormat="1">
      <c r="A149" s="34"/>
      <c r="B149" s="35"/>
      <c r="C149" s="36"/>
      <c r="D149" s="37"/>
      <c r="E149" s="38"/>
      <c r="F149" s="36"/>
      <c r="G149" s="39"/>
      <c r="H149" s="38"/>
      <c r="I149" s="36"/>
      <c r="J149" s="40"/>
      <c r="K149" s="41"/>
      <c r="L149" s="36"/>
      <c r="M149" s="42"/>
      <c r="N149" s="41"/>
    </row>
    <row r="150" spans="1:14" s="77" customFormat="1" ht="15">
      <c r="A150" s="30">
        <v>19</v>
      </c>
      <c r="B150" s="31" t="s">
        <v>12</v>
      </c>
      <c r="C150" s="36"/>
      <c r="D150" s="32"/>
      <c r="E150" s="49"/>
      <c r="F150" s="36"/>
      <c r="G150" s="32"/>
      <c r="H150" s="49"/>
      <c r="I150" s="36"/>
      <c r="J150" s="32"/>
      <c r="K150" s="50"/>
      <c r="L150" s="36"/>
      <c r="M150" s="32"/>
      <c r="N150" s="50"/>
    </row>
    <row r="151" spans="1:14" s="76" customFormat="1">
      <c r="A151" s="34"/>
      <c r="B151" s="35" t="s">
        <v>3</v>
      </c>
      <c r="C151" s="36">
        <v>9.68</v>
      </c>
      <c r="D151" s="37">
        <v>9.6802297999999993</v>
      </c>
      <c r="E151" s="38">
        <f>C151-D151</f>
        <v>-2.2979999999961365E-4</v>
      </c>
      <c r="F151" s="36">
        <v>1.98</v>
      </c>
      <c r="G151" s="39">
        <v>1.9033826999999999</v>
      </c>
      <c r="H151" s="38">
        <f>F151-G151</f>
        <v>7.661730000000011E-2</v>
      </c>
      <c r="I151" s="36">
        <v>2014</v>
      </c>
      <c r="J151" s="40">
        <v>2014</v>
      </c>
      <c r="K151" s="41">
        <f>I151-J151</f>
        <v>0</v>
      </c>
      <c r="L151" s="36">
        <v>374</v>
      </c>
      <c r="M151" s="42">
        <v>366</v>
      </c>
      <c r="N151" s="41">
        <f>L151-M151</f>
        <v>8</v>
      </c>
    </row>
    <row r="152" spans="1:14" s="76" customFormat="1">
      <c r="A152" s="34"/>
      <c r="B152" s="35" t="s">
        <v>4</v>
      </c>
      <c r="C152" s="36">
        <v>5.81</v>
      </c>
      <c r="D152" s="37">
        <v>5.8050126999999998</v>
      </c>
      <c r="E152" s="38">
        <f t="shared" ref="E152:E156" si="72">C152-D152</f>
        <v>4.9872999999998058E-3</v>
      </c>
      <c r="F152" s="36">
        <v>1.37</v>
      </c>
      <c r="G152" s="39">
        <v>2.0175369999999999</v>
      </c>
      <c r="H152" s="38">
        <f t="shared" ref="H152:H156" si="73">F152-G152</f>
        <v>-0.64753699999999981</v>
      </c>
      <c r="I152" s="36">
        <v>5307</v>
      </c>
      <c r="J152" s="40">
        <v>5307</v>
      </c>
      <c r="K152" s="41">
        <f t="shared" ref="K152:K156" si="74">I152-J152</f>
        <v>0</v>
      </c>
      <c r="L152" s="36">
        <v>1261</v>
      </c>
      <c r="M152" s="42">
        <v>1256</v>
      </c>
      <c r="N152" s="41">
        <f t="shared" ref="N152:N156" si="75">L152-M152</f>
        <v>5</v>
      </c>
    </row>
    <row r="153" spans="1:14" s="76" customFormat="1">
      <c r="A153" s="34"/>
      <c r="B153" s="35" t="s">
        <v>5</v>
      </c>
      <c r="C153" s="36">
        <v>0</v>
      </c>
      <c r="D153" s="37">
        <v>0</v>
      </c>
      <c r="E153" s="38">
        <f t="shared" si="72"/>
        <v>0</v>
      </c>
      <c r="F153" s="36">
        <v>0</v>
      </c>
      <c r="G153" s="39">
        <v>0</v>
      </c>
      <c r="H153" s="38">
        <f t="shared" si="73"/>
        <v>0</v>
      </c>
      <c r="I153" s="36">
        <v>0</v>
      </c>
      <c r="J153" s="40">
        <v>0</v>
      </c>
      <c r="K153" s="41">
        <f t="shared" si="74"/>
        <v>0</v>
      </c>
      <c r="L153" s="36">
        <v>0</v>
      </c>
      <c r="M153" s="42">
        <v>0</v>
      </c>
      <c r="N153" s="41">
        <f t="shared" si="75"/>
        <v>0</v>
      </c>
    </row>
    <row r="154" spans="1:14" s="76" customFormat="1">
      <c r="A154" s="34"/>
      <c r="B154" s="35" t="s">
        <v>6</v>
      </c>
      <c r="C154" s="36">
        <v>0</v>
      </c>
      <c r="D154" s="61">
        <v>0</v>
      </c>
      <c r="E154" s="38">
        <f t="shared" si="72"/>
        <v>0</v>
      </c>
      <c r="F154" s="36">
        <v>0</v>
      </c>
      <c r="G154" s="51">
        <v>0</v>
      </c>
      <c r="H154" s="38">
        <f t="shared" si="73"/>
        <v>0</v>
      </c>
      <c r="I154" s="36">
        <v>0</v>
      </c>
      <c r="J154" s="62">
        <v>0</v>
      </c>
      <c r="K154" s="41">
        <f t="shared" si="74"/>
        <v>0</v>
      </c>
      <c r="L154" s="36">
        <v>0</v>
      </c>
      <c r="M154" s="52">
        <v>0</v>
      </c>
      <c r="N154" s="41">
        <f t="shared" si="75"/>
        <v>0</v>
      </c>
    </row>
    <row r="155" spans="1:14" s="76" customFormat="1">
      <c r="A155" s="34"/>
      <c r="B155" s="35" t="s">
        <v>25</v>
      </c>
      <c r="C155" s="36">
        <v>0</v>
      </c>
      <c r="D155" s="61">
        <v>0</v>
      </c>
      <c r="E155" s="38">
        <f t="shared" si="72"/>
        <v>0</v>
      </c>
      <c r="F155" s="36">
        <v>0</v>
      </c>
      <c r="G155" s="39">
        <v>0</v>
      </c>
      <c r="H155" s="38">
        <f t="shared" si="73"/>
        <v>0</v>
      </c>
      <c r="I155" s="36">
        <v>0</v>
      </c>
      <c r="J155" s="62">
        <v>0</v>
      </c>
      <c r="K155" s="41">
        <f t="shared" si="74"/>
        <v>0</v>
      </c>
      <c r="L155" s="36">
        <v>0</v>
      </c>
      <c r="M155" s="42">
        <v>0</v>
      </c>
      <c r="N155" s="41">
        <f t="shared" si="75"/>
        <v>0</v>
      </c>
    </row>
    <row r="156" spans="1:14" s="77" customFormat="1" ht="15">
      <c r="A156" s="30"/>
      <c r="B156" s="43"/>
      <c r="C156" s="44">
        <f>C151+C152+C153+C154+C155</f>
        <v>15.489999999999998</v>
      </c>
      <c r="D156" s="45">
        <f>D151+D152+D153+D154+D155</f>
        <v>15.485242499999998</v>
      </c>
      <c r="E156" s="46">
        <f t="shared" si="72"/>
        <v>4.7575000000001921E-3</v>
      </c>
      <c r="F156" s="44">
        <f>F151+F152+F153+F154+F155</f>
        <v>3.35</v>
      </c>
      <c r="G156" s="45">
        <f>G151+G152+G153+G154+G155</f>
        <v>3.9209196999999998</v>
      </c>
      <c r="H156" s="46">
        <f t="shared" si="73"/>
        <v>-0.5709196999999997</v>
      </c>
      <c r="I156" s="44">
        <f>I151+I152+I153+I154+I155</f>
        <v>7321</v>
      </c>
      <c r="J156" s="47">
        <f>J151+J152+J153+J154+J155</f>
        <v>7321</v>
      </c>
      <c r="K156" s="48">
        <f t="shared" si="74"/>
        <v>0</v>
      </c>
      <c r="L156" s="44">
        <f>L151+L152+L153+L154+L155</f>
        <v>1635</v>
      </c>
      <c r="M156" s="47">
        <f>M151+M152+M153+M154+M155</f>
        <v>1622</v>
      </c>
      <c r="N156" s="48">
        <f t="shared" si="75"/>
        <v>13</v>
      </c>
    </row>
    <row r="157" spans="1:14" s="76" customFormat="1">
      <c r="A157" s="34"/>
      <c r="B157" s="35"/>
      <c r="C157" s="36"/>
      <c r="D157" s="61"/>
      <c r="E157" s="74"/>
      <c r="F157" s="36"/>
      <c r="G157" s="39"/>
      <c r="H157" s="74"/>
      <c r="I157" s="36"/>
      <c r="J157" s="62"/>
      <c r="K157" s="75"/>
      <c r="L157" s="36"/>
      <c r="M157" s="42"/>
      <c r="N157" s="75"/>
    </row>
    <row r="158" spans="1:14" s="77" customFormat="1" ht="15">
      <c r="A158" s="79">
        <v>20</v>
      </c>
      <c r="B158" s="31" t="s">
        <v>7</v>
      </c>
      <c r="C158" s="36"/>
      <c r="D158" s="32"/>
      <c r="E158" s="49"/>
      <c r="F158" s="36"/>
      <c r="G158" s="32"/>
      <c r="H158" s="49"/>
      <c r="I158" s="36"/>
      <c r="J158" s="32"/>
      <c r="K158" s="50"/>
      <c r="L158" s="36"/>
      <c r="M158" s="32"/>
      <c r="N158" s="50"/>
    </row>
    <row r="159" spans="1:14" s="76" customFormat="1">
      <c r="A159" s="80"/>
      <c r="B159" s="35" t="s">
        <v>3</v>
      </c>
      <c r="C159" s="36">
        <v>345.32</v>
      </c>
      <c r="D159" s="37">
        <v>345.32051944199992</v>
      </c>
      <c r="E159" s="38">
        <f>C159-D159</f>
        <v>-5.1944199992703943E-4</v>
      </c>
      <c r="F159" s="36">
        <v>405.49</v>
      </c>
      <c r="G159" s="39">
        <v>405.49003768999978</v>
      </c>
      <c r="H159" s="38">
        <f>F159-G159</f>
        <v>-3.7689999771828298E-5</v>
      </c>
      <c r="I159" s="36">
        <v>15427</v>
      </c>
      <c r="J159" s="40">
        <v>15427</v>
      </c>
      <c r="K159" s="41">
        <f>I159-J159</f>
        <v>0</v>
      </c>
      <c r="L159" s="36">
        <v>13048</v>
      </c>
      <c r="M159" s="42">
        <v>13048</v>
      </c>
      <c r="N159" s="41">
        <f>L159-M159</f>
        <v>0</v>
      </c>
    </row>
    <row r="160" spans="1:14" s="76" customFormat="1">
      <c r="A160" s="80"/>
      <c r="B160" s="35" t="s">
        <v>4</v>
      </c>
      <c r="C160" s="36">
        <v>2914.3</v>
      </c>
      <c r="D160" s="37">
        <v>2914.3009764762996</v>
      </c>
      <c r="E160" s="38">
        <f t="shared" ref="E160:E164" si="76">C160-D160</f>
        <v>-9.7647629945640801E-4</v>
      </c>
      <c r="F160" s="36">
        <v>4268.45</v>
      </c>
      <c r="G160" s="39">
        <v>4268.4488657079955</v>
      </c>
      <c r="H160" s="38">
        <f t="shared" ref="H160:H164" si="77">F160-G160</f>
        <v>1.1342920042807236E-3</v>
      </c>
      <c r="I160" s="36">
        <v>700587</v>
      </c>
      <c r="J160" s="40">
        <v>700587</v>
      </c>
      <c r="K160" s="41">
        <f t="shared" ref="K160:K164" si="78">I160-J160</f>
        <v>0</v>
      </c>
      <c r="L160" s="36">
        <v>801622</v>
      </c>
      <c r="M160" s="42">
        <v>801622</v>
      </c>
      <c r="N160" s="41">
        <f t="shared" ref="N160:N164" si="79">L160-M160</f>
        <v>0</v>
      </c>
    </row>
    <row r="161" spans="1:14" s="76" customFormat="1">
      <c r="A161" s="80"/>
      <c r="B161" s="35" t="s">
        <v>5</v>
      </c>
      <c r="C161" s="36">
        <v>2551.42</v>
      </c>
      <c r="D161" s="37">
        <v>2551.4182310599999</v>
      </c>
      <c r="E161" s="38">
        <f t="shared" si="76"/>
        <v>1.7689400001472677E-3</v>
      </c>
      <c r="F161" s="36">
        <v>983.69</v>
      </c>
      <c r="G161" s="39">
        <v>983.68971058299996</v>
      </c>
      <c r="H161" s="38">
        <f t="shared" si="77"/>
        <v>2.894170000899976E-4</v>
      </c>
      <c r="I161" s="36">
        <v>43</v>
      </c>
      <c r="J161" s="40">
        <v>43</v>
      </c>
      <c r="K161" s="41">
        <f t="shared" si="78"/>
        <v>0</v>
      </c>
      <c r="L161" s="36">
        <v>72</v>
      </c>
      <c r="M161" s="42">
        <v>72</v>
      </c>
      <c r="N161" s="41">
        <f t="shared" si="79"/>
        <v>0</v>
      </c>
    </row>
    <row r="162" spans="1:14" s="76" customFormat="1">
      <c r="A162" s="80"/>
      <c r="B162" s="35" t="s">
        <v>6</v>
      </c>
      <c r="C162" s="36">
        <v>112.05</v>
      </c>
      <c r="D162" s="37">
        <v>162.10198360700008</v>
      </c>
      <c r="E162" s="38">
        <f t="shared" si="76"/>
        <v>-50.051983607000082</v>
      </c>
      <c r="F162" s="36">
        <v>129.05000000000001</v>
      </c>
      <c r="G162" s="39">
        <v>129.05113867899991</v>
      </c>
      <c r="H162" s="38">
        <f t="shared" si="77"/>
        <v>-1.1386789998937275E-3</v>
      </c>
      <c r="I162" s="36">
        <v>2</v>
      </c>
      <c r="J162" s="40">
        <v>362</v>
      </c>
      <c r="K162" s="41">
        <f t="shared" si="78"/>
        <v>-360</v>
      </c>
      <c r="L162" s="36">
        <v>10</v>
      </c>
      <c r="M162" s="42">
        <v>10</v>
      </c>
      <c r="N162" s="41">
        <f t="shared" si="79"/>
        <v>0</v>
      </c>
    </row>
    <row r="163" spans="1:14" s="76" customFormat="1">
      <c r="A163" s="80"/>
      <c r="B163" s="35" t="s">
        <v>25</v>
      </c>
      <c r="C163" s="36">
        <v>54.06</v>
      </c>
      <c r="D163" s="37">
        <v>0</v>
      </c>
      <c r="E163" s="38">
        <f t="shared" si="76"/>
        <v>54.06</v>
      </c>
      <c r="F163" s="36">
        <v>131.24</v>
      </c>
      <c r="G163" s="39">
        <v>131.23660943699988</v>
      </c>
      <c r="H163" s="38">
        <f t="shared" si="77"/>
        <v>3.3905630001243026E-3</v>
      </c>
      <c r="I163" s="36">
        <v>360</v>
      </c>
      <c r="J163" s="40">
        <v>0</v>
      </c>
      <c r="K163" s="41">
        <f t="shared" si="78"/>
        <v>360</v>
      </c>
      <c r="L163" s="36">
        <v>766</v>
      </c>
      <c r="M163" s="42">
        <v>766</v>
      </c>
      <c r="N163" s="41">
        <f t="shared" si="79"/>
        <v>0</v>
      </c>
    </row>
    <row r="164" spans="1:14" s="77" customFormat="1" ht="15">
      <c r="A164" s="79"/>
      <c r="B164" s="43"/>
      <c r="C164" s="44">
        <f>C159+C160+C161+C162+C163</f>
        <v>5977.1500000000015</v>
      </c>
      <c r="D164" s="45">
        <f>D159+D160+D161+D162+D163</f>
        <v>5973.1417105852988</v>
      </c>
      <c r="E164" s="46">
        <f t="shared" si="76"/>
        <v>4.0082894147026309</v>
      </c>
      <c r="F164" s="44">
        <f>F159+F160+F161+F162+F163</f>
        <v>5917.9199999999992</v>
      </c>
      <c r="G164" s="45">
        <f>G159+G160+G161+G162+G163</f>
        <v>5917.9163620969948</v>
      </c>
      <c r="H164" s="46">
        <f t="shared" si="77"/>
        <v>3.637903004346299E-3</v>
      </c>
      <c r="I164" s="44">
        <f>I159+I160+I161+I162+I163</f>
        <v>716419</v>
      </c>
      <c r="J164" s="47">
        <f>J159+J160+J161+J162+J163</f>
        <v>716419</v>
      </c>
      <c r="K164" s="48">
        <f t="shared" si="78"/>
        <v>0</v>
      </c>
      <c r="L164" s="44">
        <f>L159+L160+L161+L162+L163</f>
        <v>815518</v>
      </c>
      <c r="M164" s="47">
        <f>M159+M160+M161+M162+M163</f>
        <v>815518</v>
      </c>
      <c r="N164" s="48">
        <f t="shared" si="79"/>
        <v>0</v>
      </c>
    </row>
    <row r="165" spans="1:14" s="76" customFormat="1">
      <c r="A165" s="80"/>
      <c r="B165" s="35"/>
      <c r="C165" s="36"/>
      <c r="D165" s="37"/>
      <c r="E165" s="38"/>
      <c r="F165" s="36"/>
      <c r="G165" s="39"/>
      <c r="H165" s="38"/>
      <c r="I165" s="36"/>
      <c r="J165" s="40"/>
      <c r="K165" s="41"/>
      <c r="L165" s="36"/>
      <c r="M165" s="42"/>
      <c r="N165" s="41"/>
    </row>
    <row r="166" spans="1:14" s="77" customFormat="1" ht="15">
      <c r="A166" s="79">
        <v>21</v>
      </c>
      <c r="B166" s="31" t="s">
        <v>13</v>
      </c>
      <c r="C166" s="36"/>
      <c r="D166" s="32"/>
      <c r="E166" s="49"/>
      <c r="F166" s="36"/>
      <c r="G166" s="32"/>
      <c r="H166" s="49"/>
      <c r="I166" s="36"/>
      <c r="J166" s="32"/>
      <c r="K166" s="50"/>
      <c r="L166" s="36"/>
      <c r="M166" s="32"/>
      <c r="N166" s="50"/>
    </row>
    <row r="167" spans="1:14" s="76" customFormat="1">
      <c r="A167" s="80"/>
      <c r="B167" s="35" t="s">
        <v>3</v>
      </c>
      <c r="C167" s="36">
        <v>30.23</v>
      </c>
      <c r="D167" s="37">
        <v>30.234900000000003</v>
      </c>
      <c r="E167" s="38">
        <f>C167-D167</f>
        <v>-4.900000000002791E-3</v>
      </c>
      <c r="F167" s="36">
        <v>26.57</v>
      </c>
      <c r="G167" s="39">
        <v>26.567700000000006</v>
      </c>
      <c r="H167" s="38">
        <f>F167-G167</f>
        <v>2.2999999999946397E-3</v>
      </c>
      <c r="I167" s="36">
        <v>2119</v>
      </c>
      <c r="J167" s="40">
        <v>2119</v>
      </c>
      <c r="K167" s="41">
        <f>I167-J167</f>
        <v>0</v>
      </c>
      <c r="L167" s="36">
        <v>1515</v>
      </c>
      <c r="M167" s="42">
        <v>1515</v>
      </c>
      <c r="N167" s="41">
        <f>L167-M167</f>
        <v>0</v>
      </c>
    </row>
    <row r="168" spans="1:14" s="76" customFormat="1">
      <c r="A168" s="80"/>
      <c r="B168" s="35" t="s">
        <v>4</v>
      </c>
      <c r="C168" s="36">
        <v>207.52</v>
      </c>
      <c r="D168" s="37">
        <v>207.5188</v>
      </c>
      <c r="E168" s="38">
        <f t="shared" ref="E168:E172" si="80">C168-D168</f>
        <v>1.2000000000114142E-3</v>
      </c>
      <c r="F168" s="36">
        <v>231.45</v>
      </c>
      <c r="G168" s="39">
        <v>231.44840000000005</v>
      </c>
      <c r="H168" s="38">
        <f t="shared" ref="H168:H172" si="81">F168-G168</f>
        <v>1.5999999999394277E-3</v>
      </c>
      <c r="I168" s="36">
        <v>113158</v>
      </c>
      <c r="J168" s="40">
        <v>113158</v>
      </c>
      <c r="K168" s="41">
        <f t="shared" ref="K168:K172" si="82">I168-J168</f>
        <v>0</v>
      </c>
      <c r="L168" s="36">
        <v>131001</v>
      </c>
      <c r="M168" s="42">
        <v>131001</v>
      </c>
      <c r="N168" s="41">
        <f t="shared" ref="N168:N172" si="83">L168-M168</f>
        <v>0</v>
      </c>
    </row>
    <row r="169" spans="1:14" s="76" customFormat="1" ht="14.25" customHeight="1">
      <c r="A169" s="80"/>
      <c r="B169" s="35" t="s">
        <v>5</v>
      </c>
      <c r="C169" s="36">
        <v>123.66</v>
      </c>
      <c r="D169" s="37">
        <v>123.65800638106805</v>
      </c>
      <c r="E169" s="38">
        <f t="shared" si="80"/>
        <v>1.9936189319480491E-3</v>
      </c>
      <c r="F169" s="36">
        <v>158.91999999999999</v>
      </c>
      <c r="G169" s="39">
        <v>158.91820137725421</v>
      </c>
      <c r="H169" s="38">
        <f t="shared" si="81"/>
        <v>1.798622745781131E-3</v>
      </c>
      <c r="I169" s="36">
        <v>5</v>
      </c>
      <c r="J169" s="40">
        <v>5</v>
      </c>
      <c r="K169" s="41">
        <f t="shared" si="82"/>
        <v>0</v>
      </c>
      <c r="L169" s="36">
        <v>9</v>
      </c>
      <c r="M169" s="42">
        <v>9</v>
      </c>
      <c r="N169" s="41">
        <f t="shared" si="83"/>
        <v>0</v>
      </c>
    </row>
    <row r="170" spans="1:14" s="66" customFormat="1">
      <c r="A170" s="80"/>
      <c r="B170" s="35" t="s">
        <v>6</v>
      </c>
      <c r="C170" s="36">
        <v>0</v>
      </c>
      <c r="D170" s="37">
        <v>74.981241828066061</v>
      </c>
      <c r="E170" s="38">
        <f t="shared" si="80"/>
        <v>-74.981241828066061</v>
      </c>
      <c r="F170" s="36">
        <v>0</v>
      </c>
      <c r="G170" s="39">
        <v>0</v>
      </c>
      <c r="H170" s="38">
        <f t="shared" si="81"/>
        <v>0</v>
      </c>
      <c r="I170" s="36">
        <v>0</v>
      </c>
      <c r="J170" s="40">
        <v>100</v>
      </c>
      <c r="K170" s="41">
        <f t="shared" si="82"/>
        <v>-100</v>
      </c>
      <c r="L170" s="36">
        <v>0</v>
      </c>
      <c r="M170" s="42">
        <v>0</v>
      </c>
      <c r="N170" s="41">
        <f t="shared" si="83"/>
        <v>0</v>
      </c>
    </row>
    <row r="171" spans="1:14" s="66" customFormat="1">
      <c r="A171" s="80"/>
      <c r="B171" s="35" t="s">
        <v>25</v>
      </c>
      <c r="C171" s="36">
        <v>74.98</v>
      </c>
      <c r="D171" s="37">
        <v>0</v>
      </c>
      <c r="E171" s="38">
        <f t="shared" si="80"/>
        <v>74.98</v>
      </c>
      <c r="F171" s="36">
        <v>48.62</v>
      </c>
      <c r="G171" s="39">
        <v>48.622910183138401</v>
      </c>
      <c r="H171" s="38">
        <f t="shared" si="81"/>
        <v>-2.9101831384039656E-3</v>
      </c>
      <c r="I171" s="36">
        <v>100</v>
      </c>
      <c r="J171" s="40">
        <v>0</v>
      </c>
      <c r="K171" s="41">
        <f t="shared" si="82"/>
        <v>100</v>
      </c>
      <c r="L171" s="36">
        <v>97</v>
      </c>
      <c r="M171" s="42">
        <v>97</v>
      </c>
      <c r="N171" s="41">
        <f t="shared" si="83"/>
        <v>0</v>
      </c>
    </row>
    <row r="172" spans="1:14" s="63" customFormat="1" ht="15">
      <c r="A172" s="79"/>
      <c r="B172" s="43"/>
      <c r="C172" s="44">
        <f>C167+C168+C169+C170+C171</f>
        <v>436.39</v>
      </c>
      <c r="D172" s="45">
        <f>D167+D168+D169+D170+D171</f>
        <v>436.39294820913409</v>
      </c>
      <c r="E172" s="46">
        <f t="shared" si="80"/>
        <v>-2.9482091341037631E-3</v>
      </c>
      <c r="F172" s="44">
        <f>F167+F168+F169+F170+F171</f>
        <v>465.55999999999995</v>
      </c>
      <c r="G172" s="45">
        <f>G167+G168+G169+G170+G171</f>
        <v>465.55721156039266</v>
      </c>
      <c r="H172" s="46">
        <f t="shared" si="81"/>
        <v>2.7884396072863638E-3</v>
      </c>
      <c r="I172" s="44">
        <f>I167+I168+I169+I170+I171</f>
        <v>115382</v>
      </c>
      <c r="J172" s="47">
        <f>J167+J168+J169+J170+J171</f>
        <v>115382</v>
      </c>
      <c r="K172" s="48">
        <f t="shared" si="82"/>
        <v>0</v>
      </c>
      <c r="L172" s="44">
        <f>L167+L168+L169+L170+L171</f>
        <v>132622</v>
      </c>
      <c r="M172" s="47">
        <f>M167+M168+M169+M170+M171</f>
        <v>132622</v>
      </c>
      <c r="N172" s="48">
        <f t="shared" si="83"/>
        <v>0</v>
      </c>
    </row>
    <row r="173" spans="1:14" s="66" customFormat="1">
      <c r="A173" s="80"/>
      <c r="B173" s="35"/>
      <c r="C173" s="36"/>
      <c r="D173" s="37"/>
      <c r="E173" s="38"/>
      <c r="F173" s="36"/>
      <c r="G173" s="39"/>
      <c r="H173" s="38"/>
      <c r="I173" s="36"/>
      <c r="J173" s="40"/>
      <c r="K173" s="41"/>
      <c r="L173" s="36"/>
      <c r="M173" s="42"/>
      <c r="N173" s="41"/>
    </row>
    <row r="174" spans="1:14" s="63" customFormat="1" ht="15">
      <c r="A174" s="79">
        <v>22</v>
      </c>
      <c r="B174" s="31" t="s">
        <v>41</v>
      </c>
      <c r="C174" s="36"/>
      <c r="D174" s="32"/>
      <c r="E174" s="49"/>
      <c r="F174" s="36"/>
      <c r="G174" s="32"/>
      <c r="H174" s="49"/>
      <c r="I174" s="36"/>
      <c r="J174" s="32"/>
      <c r="K174" s="50"/>
      <c r="L174" s="36"/>
      <c r="M174" s="32"/>
      <c r="N174" s="50"/>
    </row>
    <row r="175" spans="1:14" s="66" customFormat="1">
      <c r="A175" s="80"/>
      <c r="B175" s="35" t="s">
        <v>3</v>
      </c>
      <c r="C175" s="36">
        <v>26.72</v>
      </c>
      <c r="D175" s="37">
        <v>26.723076822999996</v>
      </c>
      <c r="E175" s="38">
        <f>C175-D175</f>
        <v>-3.0768229999971197E-3</v>
      </c>
      <c r="F175" s="36">
        <v>51.61</v>
      </c>
      <c r="G175" s="39">
        <v>51.605756590000013</v>
      </c>
      <c r="H175" s="38">
        <f>F175-G175</f>
        <v>4.2434099999866248E-3</v>
      </c>
      <c r="I175" s="36">
        <v>837</v>
      </c>
      <c r="J175" s="40">
        <v>837</v>
      </c>
      <c r="K175" s="41">
        <f>I175-J175</f>
        <v>0</v>
      </c>
      <c r="L175" s="36">
        <v>1330</v>
      </c>
      <c r="M175" s="42">
        <v>1330</v>
      </c>
      <c r="N175" s="41">
        <f>L175-M175</f>
        <v>0</v>
      </c>
    </row>
    <row r="176" spans="1:14" s="66" customFormat="1">
      <c r="A176" s="80"/>
      <c r="B176" s="35" t="s">
        <v>4</v>
      </c>
      <c r="C176" s="36">
        <v>251.89</v>
      </c>
      <c r="D176" s="37">
        <v>251.88701532199997</v>
      </c>
      <c r="E176" s="38">
        <f t="shared" ref="E176:E180" si="84">C176-D176</f>
        <v>2.9846780000184481E-3</v>
      </c>
      <c r="F176" s="36">
        <v>302.13</v>
      </c>
      <c r="G176" s="51">
        <v>302.12530738299995</v>
      </c>
      <c r="H176" s="38">
        <f t="shared" ref="H176:H180" si="85">F176-G176</f>
        <v>4.6926170000460843E-3</v>
      </c>
      <c r="I176" s="36">
        <v>58896</v>
      </c>
      <c r="J176" s="40">
        <v>58896</v>
      </c>
      <c r="K176" s="41">
        <f t="shared" ref="K176:K180" si="86">I176-J176</f>
        <v>0</v>
      </c>
      <c r="L176" s="36">
        <v>66416</v>
      </c>
      <c r="M176" s="52">
        <v>66416</v>
      </c>
      <c r="N176" s="41">
        <f t="shared" ref="N176:N180" si="87">L176-M176</f>
        <v>0</v>
      </c>
    </row>
    <row r="177" spans="1:14">
      <c r="A177" s="80"/>
      <c r="B177" s="35" t="s">
        <v>5</v>
      </c>
      <c r="C177" s="36">
        <v>13.39</v>
      </c>
      <c r="D177" s="37">
        <v>13.390915575000003</v>
      </c>
      <c r="E177" s="38">
        <f t="shared" si="84"/>
        <v>-9.1557500000227776E-4</v>
      </c>
      <c r="F177" s="36">
        <v>17.649999999999999</v>
      </c>
      <c r="G177" s="39">
        <v>17.652885600000001</v>
      </c>
      <c r="H177" s="38">
        <f t="shared" si="85"/>
        <v>-2.8856000000025972E-3</v>
      </c>
      <c r="I177" s="36">
        <v>1</v>
      </c>
      <c r="J177" s="40">
        <v>1</v>
      </c>
      <c r="K177" s="41">
        <f t="shared" si="86"/>
        <v>0</v>
      </c>
      <c r="L177" s="36">
        <v>0</v>
      </c>
      <c r="M177" s="42">
        <v>0</v>
      </c>
      <c r="N177" s="41">
        <f t="shared" si="87"/>
        <v>0</v>
      </c>
    </row>
    <row r="178" spans="1:14">
      <c r="A178" s="80"/>
      <c r="B178" s="35" t="s">
        <v>6</v>
      </c>
      <c r="C178" s="36">
        <v>2.33</v>
      </c>
      <c r="D178" s="37">
        <v>7.2879493210005037</v>
      </c>
      <c r="E178" s="38">
        <f t="shared" si="84"/>
        <v>-4.9579493210005037</v>
      </c>
      <c r="F178" s="36">
        <v>0.92</v>
      </c>
      <c r="G178" s="39">
        <v>0.92258253200000018</v>
      </c>
      <c r="H178" s="38">
        <f t="shared" si="85"/>
        <v>-2.5825320000001373E-3</v>
      </c>
      <c r="I178" s="36">
        <v>0</v>
      </c>
      <c r="J178" s="40">
        <v>7</v>
      </c>
      <c r="K178" s="41">
        <f t="shared" si="86"/>
        <v>-7</v>
      </c>
      <c r="L178" s="36">
        <v>0</v>
      </c>
      <c r="M178" s="42">
        <v>0</v>
      </c>
      <c r="N178" s="41">
        <f t="shared" si="87"/>
        <v>0</v>
      </c>
    </row>
    <row r="179" spans="1:14">
      <c r="A179" s="80"/>
      <c r="B179" s="35" t="s">
        <v>25</v>
      </c>
      <c r="C179" s="36">
        <v>4.96</v>
      </c>
      <c r="D179" s="37">
        <v>0</v>
      </c>
      <c r="E179" s="38">
        <f t="shared" si="84"/>
        <v>4.96</v>
      </c>
      <c r="F179" s="36">
        <v>9.9700000000000006</v>
      </c>
      <c r="G179" s="39">
        <v>9.9679008840001178</v>
      </c>
      <c r="H179" s="38">
        <f t="shared" si="85"/>
        <v>2.0991159998828834E-3</v>
      </c>
      <c r="I179" s="36">
        <v>7</v>
      </c>
      <c r="J179" s="40">
        <v>0</v>
      </c>
      <c r="K179" s="41">
        <f t="shared" si="86"/>
        <v>7</v>
      </c>
      <c r="L179" s="36">
        <v>7</v>
      </c>
      <c r="M179" s="42">
        <v>7</v>
      </c>
      <c r="N179" s="41">
        <f t="shared" si="87"/>
        <v>0</v>
      </c>
    </row>
    <row r="180" spans="1:14" s="29" customFormat="1" ht="15">
      <c r="A180" s="79"/>
      <c r="B180" s="43"/>
      <c r="C180" s="44">
        <f>C175+C176+C177+C178+C179</f>
        <v>299.28999999999996</v>
      </c>
      <c r="D180" s="45">
        <f>D175+D176+D177+D178+D179</f>
        <v>299.28895704100046</v>
      </c>
      <c r="E180" s="46">
        <f t="shared" si="84"/>
        <v>1.0429589995055721E-3</v>
      </c>
      <c r="F180" s="44">
        <f>F175+F176+F177+F178+F179</f>
        <v>382.28000000000003</v>
      </c>
      <c r="G180" s="45">
        <f>G175+G176+G177+G178+G179</f>
        <v>382.27443298900005</v>
      </c>
      <c r="H180" s="46">
        <f t="shared" si="85"/>
        <v>5.567010999982358E-3</v>
      </c>
      <c r="I180" s="44">
        <f>I175+I176+I177+I178+I179</f>
        <v>59741</v>
      </c>
      <c r="J180" s="47">
        <f>J175+J176+J177+J178+J179</f>
        <v>59741</v>
      </c>
      <c r="K180" s="48">
        <f t="shared" si="86"/>
        <v>0</v>
      </c>
      <c r="L180" s="44">
        <f>L175+L176+L177+L178+L179</f>
        <v>67753</v>
      </c>
      <c r="M180" s="47">
        <f>M175+M176+M177+M178+M179</f>
        <v>67753</v>
      </c>
      <c r="N180" s="48">
        <f t="shared" si="87"/>
        <v>0</v>
      </c>
    </row>
    <row r="181" spans="1:14">
      <c r="A181" s="80"/>
      <c r="B181" s="35"/>
      <c r="C181" s="36"/>
      <c r="D181" s="37"/>
      <c r="E181" s="38"/>
      <c r="F181" s="36"/>
      <c r="G181" s="39"/>
      <c r="H181" s="38"/>
      <c r="I181" s="36"/>
      <c r="J181" s="40"/>
      <c r="K181" s="41"/>
      <c r="L181" s="36"/>
      <c r="M181" s="42"/>
      <c r="N181" s="41"/>
    </row>
    <row r="182" spans="1:14" s="29" customFormat="1" ht="15">
      <c r="A182" s="79">
        <v>23</v>
      </c>
      <c r="B182" s="31" t="s">
        <v>42</v>
      </c>
      <c r="C182" s="36"/>
      <c r="D182" s="32"/>
      <c r="E182" s="49"/>
      <c r="F182" s="36"/>
      <c r="G182" s="32"/>
      <c r="H182" s="49"/>
      <c r="I182" s="36"/>
      <c r="J182" s="32"/>
      <c r="K182" s="50"/>
      <c r="L182" s="36"/>
      <c r="M182" s="32"/>
      <c r="N182" s="50"/>
    </row>
    <row r="183" spans="1:14" ht="15" customHeight="1">
      <c r="A183" s="80"/>
      <c r="B183" s="35" t="s">
        <v>3</v>
      </c>
      <c r="C183" s="36">
        <v>2.6</v>
      </c>
      <c r="D183" s="37">
        <v>2.6010642000000002</v>
      </c>
      <c r="E183" s="38">
        <f>C183-D183</f>
        <v>-1.0642000000000706E-3</v>
      </c>
      <c r="F183" s="36">
        <v>2.52</v>
      </c>
      <c r="G183" s="39">
        <v>2.5243091999999998</v>
      </c>
      <c r="H183" s="38">
        <f>F183-G183</f>
        <v>-4.309199999999791E-3</v>
      </c>
      <c r="I183" s="36">
        <v>86</v>
      </c>
      <c r="J183" s="40">
        <v>86</v>
      </c>
      <c r="K183" s="41">
        <f>I183-J183</f>
        <v>0</v>
      </c>
      <c r="L183" s="36">
        <v>84</v>
      </c>
      <c r="M183" s="42">
        <v>84</v>
      </c>
      <c r="N183" s="41">
        <f>L183-M183</f>
        <v>0</v>
      </c>
    </row>
    <row r="184" spans="1:14" s="66" customFormat="1">
      <c r="A184" s="80"/>
      <c r="B184" s="35" t="s">
        <v>4</v>
      </c>
      <c r="C184" s="36">
        <v>459.37</v>
      </c>
      <c r="D184" s="37">
        <v>459.37112795116957</v>
      </c>
      <c r="E184" s="38">
        <f t="shared" ref="E184:E188" si="88">C184-D184</f>
        <v>-1.127951169564767E-3</v>
      </c>
      <c r="F184" s="36">
        <v>663.83</v>
      </c>
      <c r="G184" s="39">
        <v>663.83247687499988</v>
      </c>
      <c r="H184" s="38">
        <f t="shared" ref="H184:H188" si="89">F184-G184</f>
        <v>-2.4768749998429485E-3</v>
      </c>
      <c r="I184" s="36">
        <v>86636</v>
      </c>
      <c r="J184" s="40">
        <v>86636</v>
      </c>
      <c r="K184" s="41">
        <f t="shared" ref="K184:K188" si="90">I184-J184</f>
        <v>0</v>
      </c>
      <c r="L184" s="36">
        <v>103772</v>
      </c>
      <c r="M184" s="42">
        <v>103772</v>
      </c>
      <c r="N184" s="41">
        <f t="shared" ref="N184:N188" si="91">L184-M184</f>
        <v>0</v>
      </c>
    </row>
    <row r="185" spans="1:14" s="66" customFormat="1">
      <c r="A185" s="80"/>
      <c r="B185" s="35" t="s">
        <v>5</v>
      </c>
      <c r="C185" s="36">
        <v>0.12</v>
      </c>
      <c r="D185" s="37">
        <v>0.11702687299999996</v>
      </c>
      <c r="E185" s="38">
        <f t="shared" si="88"/>
        <v>2.9731270000000337E-3</v>
      </c>
      <c r="F185" s="36">
        <v>0</v>
      </c>
      <c r="G185" s="39">
        <v>1.4611259999999992E-3</v>
      </c>
      <c r="H185" s="38">
        <f t="shared" si="89"/>
        <v>-1.4611259999999992E-3</v>
      </c>
      <c r="I185" s="36">
        <v>0</v>
      </c>
      <c r="J185" s="40">
        <v>0</v>
      </c>
      <c r="K185" s="41">
        <f t="shared" si="90"/>
        <v>0</v>
      </c>
      <c r="L185" s="36">
        <v>0</v>
      </c>
      <c r="M185" s="42">
        <v>0</v>
      </c>
      <c r="N185" s="41">
        <f t="shared" si="91"/>
        <v>0</v>
      </c>
    </row>
    <row r="186" spans="1:14" s="66" customFormat="1">
      <c r="A186" s="80"/>
      <c r="B186" s="35" t="s">
        <v>6</v>
      </c>
      <c r="C186" s="36">
        <v>44.28</v>
      </c>
      <c r="D186" s="37">
        <v>45.898050184000006</v>
      </c>
      <c r="E186" s="38">
        <f t="shared" si="88"/>
        <v>-1.6180501840000048</v>
      </c>
      <c r="F186" s="36">
        <v>60.8</v>
      </c>
      <c r="G186" s="51">
        <v>60.803352126</v>
      </c>
      <c r="H186" s="38">
        <f t="shared" si="89"/>
        <v>-3.3521260000028974E-3</v>
      </c>
      <c r="I186" s="36">
        <v>55</v>
      </c>
      <c r="J186" s="40">
        <v>70</v>
      </c>
      <c r="K186" s="41">
        <f t="shared" si="90"/>
        <v>-15</v>
      </c>
      <c r="L186" s="36">
        <v>54</v>
      </c>
      <c r="M186" s="52">
        <v>54</v>
      </c>
      <c r="N186" s="41">
        <f t="shared" si="91"/>
        <v>0</v>
      </c>
    </row>
    <row r="187" spans="1:14" s="66" customFormat="1">
      <c r="A187" s="80"/>
      <c r="B187" s="35" t="s">
        <v>25</v>
      </c>
      <c r="C187" s="36">
        <v>1.62</v>
      </c>
      <c r="D187" s="37">
        <v>0</v>
      </c>
      <c r="E187" s="38">
        <f t="shared" si="88"/>
        <v>1.62</v>
      </c>
      <c r="F187" s="36">
        <v>0.31</v>
      </c>
      <c r="G187" s="39">
        <v>0.31474826900000002</v>
      </c>
      <c r="H187" s="38">
        <f t="shared" si="89"/>
        <v>-4.7482690000000272E-3</v>
      </c>
      <c r="I187" s="36">
        <v>15</v>
      </c>
      <c r="J187" s="40">
        <v>0</v>
      </c>
      <c r="K187" s="41">
        <f t="shared" si="90"/>
        <v>15</v>
      </c>
      <c r="L187" s="36">
        <v>7</v>
      </c>
      <c r="M187" s="42">
        <v>7</v>
      </c>
      <c r="N187" s="41">
        <f t="shared" si="91"/>
        <v>0</v>
      </c>
    </row>
    <row r="188" spans="1:14" s="63" customFormat="1" ht="15">
      <c r="A188" s="79"/>
      <c r="B188" s="43"/>
      <c r="C188" s="44">
        <f>C183+C184+C185+C186+C187</f>
        <v>507.99</v>
      </c>
      <c r="D188" s="45">
        <f>D183+D184+D185+D186+D187</f>
        <v>507.98726920816955</v>
      </c>
      <c r="E188" s="46">
        <f t="shared" si="88"/>
        <v>2.7307918304586565E-3</v>
      </c>
      <c r="F188" s="44">
        <f>F183+F184+F185+F186+F187</f>
        <v>727.45999999999992</v>
      </c>
      <c r="G188" s="45">
        <f>G183+G184+G185+G186+G187</f>
        <v>727.47634759599987</v>
      </c>
      <c r="H188" s="46">
        <f t="shared" si="89"/>
        <v>-1.6347595999945952E-2</v>
      </c>
      <c r="I188" s="44">
        <f>I183+I184+I185+I186+I187</f>
        <v>86792</v>
      </c>
      <c r="J188" s="47">
        <f>J183+J184+J185+J186+J187</f>
        <v>86792</v>
      </c>
      <c r="K188" s="48">
        <f t="shared" si="90"/>
        <v>0</v>
      </c>
      <c r="L188" s="44">
        <f>L183+L184+L185+L186+L187</f>
        <v>103917</v>
      </c>
      <c r="M188" s="47">
        <f>M183+M184+M185+M186+M187</f>
        <v>103917</v>
      </c>
      <c r="N188" s="48">
        <f t="shared" si="91"/>
        <v>0</v>
      </c>
    </row>
    <row r="189" spans="1:14" s="66" customFormat="1">
      <c r="A189" s="80"/>
      <c r="B189" s="35"/>
      <c r="C189" s="36"/>
      <c r="D189" s="37"/>
      <c r="E189" s="38"/>
      <c r="F189" s="36"/>
      <c r="G189" s="39"/>
      <c r="H189" s="38"/>
      <c r="I189" s="36"/>
      <c r="J189" s="40"/>
      <c r="K189" s="41"/>
      <c r="L189" s="36"/>
      <c r="M189" s="42"/>
      <c r="N189" s="41"/>
    </row>
    <row r="190" spans="1:14" s="63" customFormat="1" ht="15">
      <c r="A190" s="43"/>
      <c r="B190" s="31" t="s">
        <v>10</v>
      </c>
      <c r="C190" s="36"/>
      <c r="D190" s="32"/>
      <c r="E190" s="49"/>
      <c r="F190" s="36"/>
      <c r="G190" s="32"/>
      <c r="H190" s="49"/>
      <c r="I190" s="36"/>
      <c r="J190" s="32"/>
      <c r="K190" s="50"/>
      <c r="L190" s="36"/>
      <c r="M190" s="32"/>
      <c r="N190" s="50"/>
    </row>
    <row r="191" spans="1:14">
      <c r="A191" s="35"/>
      <c r="B191" s="35" t="s">
        <v>3</v>
      </c>
      <c r="C191" s="81">
        <f>C7+C15+C23+C31+C39+C47+C55+C63+C71+C79+C87+C95+C103+C111+C119+C127+C135+C143+C151+C159+C167+C175+C183</f>
        <v>2099.4699999999993</v>
      </c>
      <c r="D191" s="81">
        <f>D7+D15+D23+D31+D39+D47+D55+D63+D71+D79+D87+D95+D103+D111+D119+D127+D135+D143+D151+D159+D167+D175+D183</f>
        <v>2099.482296857911</v>
      </c>
      <c r="E191" s="38">
        <f>C191-D191</f>
        <v>-1.2296857911678671E-2</v>
      </c>
      <c r="F191" s="81">
        <f>F7+F15+F23+F31+F39+F47+F55+F63+F71+F79+F87+F95+F103+F111+F119+F127+F135+F143+F151+F159+F167+F175+F183</f>
        <v>2548.0100000000007</v>
      </c>
      <c r="G191" s="81">
        <f>G7+G15+G23+G31+G39+G47+G55+G63+G71+G79+G87+G95+G103+G111+G119+G127+G135+G143+G151+G159+G167+G175+G183</f>
        <v>2547.9452350367915</v>
      </c>
      <c r="H191" s="38">
        <f>F191-G191</f>
        <v>6.4764963209199777E-2</v>
      </c>
      <c r="I191" s="82">
        <f>I7+I15+I23+I31+I39+I47+I55+I63+I71+I79+I87+I95+I103+I111+I119+I127+I135+I143+I151+I159+I167+I175+I183</f>
        <v>218649</v>
      </c>
      <c r="J191" s="82">
        <f>J7+J15+J23+J31+J39+J47+J55+J63+J71+J79+J87+J95+J103+J111+J119+J127+J135+J143+J151+J159+J167+J175+J183</f>
        <v>218649</v>
      </c>
      <c r="K191" s="41">
        <f>I191-J191</f>
        <v>0</v>
      </c>
      <c r="L191" s="82">
        <f>L7+L15+L23+L31+L39+L47+L55+L63+L71+L79+L87+L95+L103+L111+L119+L127+L135+L143+L151+L159+L167+L175+L183</f>
        <v>111816</v>
      </c>
      <c r="M191" s="82">
        <f>M7+M15+M23+M31+M39+M47+M55+M63+M71+M79+M87+M95+M103+M111+M119+M127+M135+M143+M151+M159+M167+M175+M183</f>
        <v>111808</v>
      </c>
      <c r="N191" s="41">
        <f>L191-M191</f>
        <v>8</v>
      </c>
    </row>
    <row r="192" spans="1:14">
      <c r="A192" s="35"/>
      <c r="B192" s="35" t="s">
        <v>4</v>
      </c>
      <c r="C192" s="81">
        <f t="shared" ref="C192:D192" si="92">C8+C16+C24+C32+C40+C48+C56+C64+C72+C80+C88+C96+C104+C112+C120+C128+C136+C144+C152+C160+C168+C176+C184</f>
        <v>14076.94</v>
      </c>
      <c r="D192" s="81">
        <f t="shared" si="92"/>
        <v>14076.921407537175</v>
      </c>
      <c r="E192" s="38">
        <f t="shared" ref="E192:E196" si="93">C192-D192</f>
        <v>1.8592462825836265E-2</v>
      </c>
      <c r="F192" s="81">
        <f t="shared" ref="F192:G192" si="94">F8+F16+F24+F32+F40+F48+F56+F64+F72+F80+F88+F96+F104+F112+F120+F128+F136+F144+F152+F160+F168+F176+F184</f>
        <v>19049.410000000003</v>
      </c>
      <c r="G192" s="81">
        <f t="shared" si="94"/>
        <v>19050.063776368137</v>
      </c>
      <c r="H192" s="38">
        <f t="shared" ref="H192:H196" si="95">F192-G192</f>
        <v>-0.65377636813354911</v>
      </c>
      <c r="I192" s="82">
        <f t="shared" ref="I192:J192" si="96">I8+I16+I24+I32+I40+I48+I56+I64+I72+I80+I88+I96+I104+I112+I120+I128+I136+I144+I152+I160+I168+I176+I184</f>
        <v>3161443</v>
      </c>
      <c r="J192" s="82">
        <f t="shared" si="96"/>
        <v>3161440</v>
      </c>
      <c r="K192" s="41">
        <f t="shared" ref="K192:K196" si="97">I192-J192</f>
        <v>3</v>
      </c>
      <c r="L192" s="82">
        <f t="shared" ref="L192:M192" si="98">L8+L16+L24+L32+L40+L48+L56+L64+L72+L80+L88+L96+L104+L112+L120+L128+L136+L144+L152+L160+L168+L176+L184</f>
        <v>3713563</v>
      </c>
      <c r="M192" s="82">
        <f t="shared" si="98"/>
        <v>3713558</v>
      </c>
      <c r="N192" s="41">
        <f t="shared" ref="N192:N196" si="99">L192-M192</f>
        <v>5</v>
      </c>
    </row>
    <row r="193" spans="1:14">
      <c r="A193" s="35"/>
      <c r="B193" s="35" t="s">
        <v>5</v>
      </c>
      <c r="C193" s="81">
        <f t="shared" ref="C193:D193" si="100">C9+C17+C25+C33+C41+C49+C57+C65+C73+C81+C89+C97+C105+C113+C121+C129+C137+C145+C153+C161+C169+C177+C185</f>
        <v>8296.8700000000008</v>
      </c>
      <c r="D193" s="81">
        <f t="shared" si="100"/>
        <v>9080.3430562365211</v>
      </c>
      <c r="E193" s="38">
        <f t="shared" si="93"/>
        <v>-783.47305623652028</v>
      </c>
      <c r="F193" s="81">
        <f t="shared" ref="F193:G193" si="101">F9+F17+F25+F33+F41+F49+F57+F65+F73+F81+F89+F97+F105+F113+F121+F129+F137+F145+F153+F161+F169+F177+F185</f>
        <v>8793.6999999999989</v>
      </c>
      <c r="G193" s="81">
        <f t="shared" si="101"/>
        <v>8793.692373366428</v>
      </c>
      <c r="H193" s="38">
        <f t="shared" si="95"/>
        <v>7.6266335709078703E-3</v>
      </c>
      <c r="I193" s="82">
        <f t="shared" ref="I193:J193" si="102">I9+I17+I25+I33+I41+I49+I57+I65+I73+I81+I89+I97+I105+I113+I121+I129+I137+I145+I153+I161+I169+I177+I185</f>
        <v>394</v>
      </c>
      <c r="J193" s="82">
        <f t="shared" si="102"/>
        <v>1607</v>
      </c>
      <c r="K193" s="41">
        <f t="shared" si="97"/>
        <v>-1213</v>
      </c>
      <c r="L193" s="82">
        <f t="shared" ref="L193:M193" si="103">L9+L17+L25+L33+L41+L49+L57+L65+L73+L81+L89+L97+L105+L113+L121+L129+L137+L145+L153+L161+L169+L177+L185</f>
        <v>549</v>
      </c>
      <c r="M193" s="82">
        <f t="shared" si="103"/>
        <v>549</v>
      </c>
      <c r="N193" s="41">
        <f t="shared" si="99"/>
        <v>0</v>
      </c>
    </row>
    <row r="194" spans="1:14">
      <c r="A194" s="35"/>
      <c r="B194" s="35" t="s">
        <v>6</v>
      </c>
      <c r="C194" s="81">
        <f t="shared" ref="C194:D194" si="104">C10+C18+C26+C34+C42+C50+C58+C66+C74+C82+C90+C98+C106+C114+C122+C130+C138+C146+C154+C162+C170+C178+C186</f>
        <v>1724.6199999999997</v>
      </c>
      <c r="D194" s="81">
        <f t="shared" si="104"/>
        <v>2884.7654143757031</v>
      </c>
      <c r="E194" s="38">
        <f t="shared" si="93"/>
        <v>-1160.1454143757035</v>
      </c>
      <c r="F194" s="81">
        <f t="shared" ref="F194:G194" si="105">F10+F18+F26+F34+F42+F50+F58+F66+F74+F82+F90+F98+F106+F114+F122+F130+F138+F146+F154+F162+F170+F178+F186</f>
        <v>398.84000000000003</v>
      </c>
      <c r="G194" s="81">
        <f t="shared" si="105"/>
        <v>398.85832762566952</v>
      </c>
      <c r="H194" s="38">
        <f t="shared" si="95"/>
        <v>-1.8327625669485315E-2</v>
      </c>
      <c r="I194" s="82">
        <f t="shared" ref="I194:J194" si="106">I10+I18+I26+I34+I42+I50+I58+I66+I74+I82+I90+I98+I106+I114+I122+I130+I138+I146+I154+I162+I170+I178+I186</f>
        <v>428</v>
      </c>
      <c r="J194" s="82">
        <f t="shared" si="106"/>
        <v>2364</v>
      </c>
      <c r="K194" s="41">
        <f t="shared" si="97"/>
        <v>-1936</v>
      </c>
      <c r="L194" s="82">
        <f t="shared" ref="L194:M194" si="107">L10+L18+L26+L34+L42+L50+L58+L66+L74+L82+L90+L98+L106+L114+L122+L130+L138+L146+L154+L162+L170+L178+L186</f>
        <v>375</v>
      </c>
      <c r="M194" s="82">
        <f t="shared" si="107"/>
        <v>375</v>
      </c>
      <c r="N194" s="41">
        <f t="shared" si="99"/>
        <v>0</v>
      </c>
    </row>
    <row r="195" spans="1:14">
      <c r="A195" s="35"/>
      <c r="B195" s="35" t="s">
        <v>25</v>
      </c>
      <c r="C195" s="81">
        <f t="shared" ref="C195:D195" si="108">C11+C19+C27+C35+C43+C51+C59+C67+C75+C83+C91+C99+C107+C115+C123+C131+C139+C147+C155+C163+C171+C179+C187</f>
        <v>1672.3999999999999</v>
      </c>
      <c r="D195" s="81">
        <f t="shared" si="108"/>
        <v>0</v>
      </c>
      <c r="E195" s="38">
        <f t="shared" si="93"/>
        <v>1672.3999999999999</v>
      </c>
      <c r="F195" s="81">
        <f t="shared" ref="F195:G195" si="109">F11+F19+F27+F35+F43+F51+F59+F67+F75+F83+F91+F99+F107+F115+F123+F131+F139+F147+F155+F163+F171+F179+F187</f>
        <v>1831.79</v>
      </c>
      <c r="G195" s="81">
        <f t="shared" si="109"/>
        <v>1831.7746631856198</v>
      </c>
      <c r="H195" s="38">
        <f t="shared" si="95"/>
        <v>1.5336814380134456E-2</v>
      </c>
      <c r="I195" s="82">
        <f t="shared" ref="I195:J195" si="110">I11+I19+I27+I35+I43+I51+I59+I67+I75+I83+I91+I99+I107+I115+I123+I131+I139+I147+I155+I163+I171+I179+I187</f>
        <v>2205</v>
      </c>
      <c r="J195" s="82">
        <f t="shared" si="110"/>
        <v>0</v>
      </c>
      <c r="K195" s="41">
        <f t="shared" si="97"/>
        <v>2205</v>
      </c>
      <c r="L195" s="82">
        <f t="shared" ref="L195:M195" si="111">L11+L19+L27+L35+L43+L51+L59+L67+L75+L83+L91+L99+L107+L115+L123+L131+L139+L147+L155+L163+L171+L179+L187</f>
        <v>3504</v>
      </c>
      <c r="M195" s="82">
        <f t="shared" si="111"/>
        <v>3504</v>
      </c>
      <c r="N195" s="41">
        <f t="shared" si="99"/>
        <v>0</v>
      </c>
    </row>
    <row r="196" spans="1:14" s="29" customFormat="1" ht="15">
      <c r="A196" s="43"/>
      <c r="B196" s="43"/>
      <c r="C196" s="44">
        <f>C191+C192+C193+C194+C195</f>
        <v>27870.3</v>
      </c>
      <c r="D196" s="45">
        <f>D191+D192+D193+D194+D195</f>
        <v>28141.512175007309</v>
      </c>
      <c r="E196" s="46">
        <f t="shared" si="93"/>
        <v>-271.21217500730927</v>
      </c>
      <c r="F196" s="44">
        <f>F191+F192+F193+F194+F195</f>
        <v>32621.750000000004</v>
      </c>
      <c r="G196" s="45">
        <f>G191+G192+G193+G194+G195</f>
        <v>32622.334375582643</v>
      </c>
      <c r="H196" s="46">
        <f t="shared" si="95"/>
        <v>-0.58437558263904066</v>
      </c>
      <c r="I196" s="44">
        <f>I191+I192+I193+I194+I195</f>
        <v>3383119</v>
      </c>
      <c r="J196" s="47">
        <f>J191+J192+J193+J194+J195</f>
        <v>3384060</v>
      </c>
      <c r="K196" s="48">
        <f t="shared" si="97"/>
        <v>-941</v>
      </c>
      <c r="L196" s="44">
        <f>L191+L192+L193+L194+L195</f>
        <v>3829807</v>
      </c>
      <c r="M196" s="47">
        <f>M191+M192+M193+M194+M195</f>
        <v>3829794</v>
      </c>
      <c r="N196" s="48">
        <f t="shared" si="99"/>
        <v>13</v>
      </c>
    </row>
    <row r="197" spans="1:14">
      <c r="A197" s="35"/>
      <c r="B197" s="35"/>
      <c r="C197" s="36"/>
      <c r="D197" s="61"/>
      <c r="E197" s="74"/>
      <c r="F197" s="36"/>
      <c r="G197" s="39"/>
      <c r="H197" s="74"/>
      <c r="I197" s="36"/>
      <c r="J197" s="62"/>
      <c r="K197" s="75"/>
      <c r="L197" s="36"/>
      <c r="M197" s="42"/>
      <c r="N197" s="75"/>
    </row>
    <row r="198" spans="1:14" s="29" customFormat="1" ht="15">
      <c r="A198" s="30">
        <v>24</v>
      </c>
      <c r="B198" s="31" t="s">
        <v>1</v>
      </c>
      <c r="C198" s="36"/>
      <c r="D198" s="32"/>
      <c r="E198" s="49"/>
      <c r="F198" s="36"/>
      <c r="G198" s="32"/>
      <c r="H198" s="49"/>
      <c r="I198" s="36"/>
      <c r="J198" s="32"/>
      <c r="K198" s="50"/>
      <c r="L198" s="36"/>
      <c r="M198" s="32"/>
      <c r="N198" s="50"/>
    </row>
    <row r="199" spans="1:14">
      <c r="A199" s="35"/>
      <c r="B199" s="35" t="s">
        <v>3</v>
      </c>
      <c r="C199" s="36">
        <v>17254.310000000001</v>
      </c>
      <c r="D199" s="37">
        <v>17254.310500000003</v>
      </c>
      <c r="E199" s="38">
        <f>C199-D199</f>
        <v>-5.0000000192085281E-4</v>
      </c>
      <c r="F199" s="36">
        <v>19679.86</v>
      </c>
      <c r="G199" s="39">
        <v>19679.857604500001</v>
      </c>
      <c r="H199" s="38">
        <f>F199-G199</f>
        <v>2.3954999996931292E-3</v>
      </c>
      <c r="I199" s="36">
        <v>778671</v>
      </c>
      <c r="J199" s="62">
        <v>778671</v>
      </c>
      <c r="K199" s="41">
        <f>I199-J199</f>
        <v>0</v>
      </c>
      <c r="L199" s="36">
        <v>779922</v>
      </c>
      <c r="M199" s="42">
        <v>779922</v>
      </c>
      <c r="N199" s="41">
        <f>L199-M199</f>
        <v>0</v>
      </c>
    </row>
    <row r="200" spans="1:14">
      <c r="A200" s="35"/>
      <c r="B200" s="35" t="s">
        <v>4</v>
      </c>
      <c r="C200" s="36">
        <v>11841.89</v>
      </c>
      <c r="D200" s="37">
        <v>11841.886499999999</v>
      </c>
      <c r="E200" s="38">
        <f t="shared" ref="E200:E204" si="112">C200-D200</f>
        <v>3.5000000007130438E-3</v>
      </c>
      <c r="F200" s="36">
        <v>13830.67</v>
      </c>
      <c r="G200" s="39">
        <v>13830.665476499998</v>
      </c>
      <c r="H200" s="38">
        <f t="shared" ref="H200:H204" si="113">F200-G200</f>
        <v>4.5235000015964033E-3</v>
      </c>
      <c r="I200" s="36">
        <v>9619908</v>
      </c>
      <c r="J200" s="62">
        <v>9619908</v>
      </c>
      <c r="K200" s="41">
        <f t="shared" ref="K200:K204" si="114">I200-J200</f>
        <v>0</v>
      </c>
      <c r="L200" s="36">
        <v>10441497</v>
      </c>
      <c r="M200" s="42">
        <v>10441497</v>
      </c>
      <c r="N200" s="41">
        <f t="shared" ref="N200:N204" si="115">L200-M200</f>
        <v>0</v>
      </c>
    </row>
    <row r="201" spans="1:14">
      <c r="A201" s="35"/>
      <c r="B201" s="35" t="s">
        <v>5</v>
      </c>
      <c r="C201" s="36">
        <v>43158.07</v>
      </c>
      <c r="D201" s="37">
        <v>43158.069747804999</v>
      </c>
      <c r="E201" s="38">
        <f t="shared" si="112"/>
        <v>2.5219500093953684E-4</v>
      </c>
      <c r="F201" s="36">
        <v>54772.01</v>
      </c>
      <c r="G201" s="39">
        <v>54772.006939040999</v>
      </c>
      <c r="H201" s="38">
        <f t="shared" si="113"/>
        <v>3.0609590030508116E-3</v>
      </c>
      <c r="I201" s="36">
        <v>413</v>
      </c>
      <c r="J201" s="62">
        <v>413</v>
      </c>
      <c r="K201" s="41">
        <f t="shared" si="114"/>
        <v>0</v>
      </c>
      <c r="L201" s="36">
        <v>457</v>
      </c>
      <c r="M201" s="42">
        <v>457</v>
      </c>
      <c r="N201" s="41">
        <f t="shared" si="115"/>
        <v>0</v>
      </c>
    </row>
    <row r="202" spans="1:14">
      <c r="A202" s="35"/>
      <c r="B202" s="35" t="s">
        <v>6</v>
      </c>
      <c r="C202" s="36">
        <v>2699.45</v>
      </c>
      <c r="D202" s="37">
        <v>3008.8186554510003</v>
      </c>
      <c r="E202" s="38">
        <f t="shared" si="112"/>
        <v>-309.36865545100045</v>
      </c>
      <c r="F202" s="36">
        <v>1509.21</v>
      </c>
      <c r="G202" s="39">
        <v>1509.2056919190002</v>
      </c>
      <c r="H202" s="38">
        <f t="shared" si="113"/>
        <v>4.3080809998627956E-3</v>
      </c>
      <c r="I202" s="36">
        <v>1839</v>
      </c>
      <c r="J202" s="62">
        <v>16210</v>
      </c>
      <c r="K202" s="41">
        <f t="shared" si="114"/>
        <v>-14371</v>
      </c>
      <c r="L202" s="36">
        <v>2045</v>
      </c>
      <c r="M202" s="42">
        <v>2045</v>
      </c>
      <c r="N202" s="41">
        <f t="shared" si="115"/>
        <v>0</v>
      </c>
    </row>
    <row r="203" spans="1:14">
      <c r="A203" s="35"/>
      <c r="B203" s="35" t="s">
        <v>25</v>
      </c>
      <c r="C203" s="36">
        <v>309.37</v>
      </c>
      <c r="D203" s="37">
        <v>0</v>
      </c>
      <c r="E203" s="38">
        <f t="shared" si="112"/>
        <v>309.37</v>
      </c>
      <c r="F203" s="36">
        <v>522.52</v>
      </c>
      <c r="G203" s="39">
        <v>522.51923333599996</v>
      </c>
      <c r="H203" s="38">
        <f t="shared" si="113"/>
        <v>7.6666400002523005E-4</v>
      </c>
      <c r="I203" s="36">
        <v>14371</v>
      </c>
      <c r="J203" s="62">
        <v>0</v>
      </c>
      <c r="K203" s="41">
        <f t="shared" si="114"/>
        <v>14371</v>
      </c>
      <c r="L203" s="36">
        <v>14008</v>
      </c>
      <c r="M203" s="42">
        <v>14008</v>
      </c>
      <c r="N203" s="41">
        <f t="shared" si="115"/>
        <v>0</v>
      </c>
    </row>
    <row r="204" spans="1:14" s="29" customFormat="1" ht="15">
      <c r="A204" s="43"/>
      <c r="B204" s="43"/>
      <c r="C204" s="44">
        <f>C199+C200+C201+C202+C203</f>
        <v>75263.09</v>
      </c>
      <c r="D204" s="45">
        <f>D199+D200+D201+D202+D203</f>
        <v>75263.085403256002</v>
      </c>
      <c r="E204" s="46">
        <f t="shared" si="112"/>
        <v>4.5967439946252853E-3</v>
      </c>
      <c r="F204" s="44">
        <f>F199+F200+F201+F202+F203</f>
        <v>90314.270000000019</v>
      </c>
      <c r="G204" s="45">
        <f>G199+G200+G201+G202+G203</f>
        <v>90314.254945296008</v>
      </c>
      <c r="H204" s="46">
        <f t="shared" si="113"/>
        <v>1.5054704010253772E-2</v>
      </c>
      <c r="I204" s="44">
        <f>I199+I200+I201+I202+I203</f>
        <v>10415202</v>
      </c>
      <c r="J204" s="47">
        <f>J199+J200+J201+J202+J203</f>
        <v>10415202</v>
      </c>
      <c r="K204" s="48">
        <f t="shared" si="114"/>
        <v>0</v>
      </c>
      <c r="L204" s="44">
        <f>L199+L200+L201+L202+L203</f>
        <v>11237929</v>
      </c>
      <c r="M204" s="47">
        <f>M199+M200+M201+M202+M203</f>
        <v>11237929</v>
      </c>
      <c r="N204" s="48">
        <f t="shared" si="115"/>
        <v>0</v>
      </c>
    </row>
    <row r="205" spans="1:14">
      <c r="A205" s="35"/>
      <c r="B205" s="35"/>
      <c r="C205" s="36"/>
      <c r="D205" s="37"/>
      <c r="E205" s="38"/>
      <c r="F205" s="36"/>
      <c r="G205" s="39"/>
      <c r="H205" s="38"/>
      <c r="I205" s="36"/>
      <c r="J205" s="62"/>
      <c r="K205" s="41"/>
      <c r="L205" s="36"/>
      <c r="M205" s="42"/>
      <c r="N205" s="41"/>
    </row>
    <row r="206" spans="1:14" s="29" customFormat="1" ht="15">
      <c r="A206" s="43"/>
      <c r="B206" s="31" t="s">
        <v>11</v>
      </c>
      <c r="C206" s="44"/>
      <c r="D206" s="32"/>
      <c r="E206" s="49"/>
      <c r="F206" s="44"/>
      <c r="G206" s="32"/>
      <c r="H206" s="49"/>
      <c r="I206" s="44"/>
      <c r="J206" s="32"/>
      <c r="K206" s="50"/>
      <c r="L206" s="44"/>
      <c r="M206" s="32"/>
      <c r="N206" s="50"/>
    </row>
    <row r="207" spans="1:14">
      <c r="A207" s="35"/>
      <c r="B207" s="35" t="s">
        <v>3</v>
      </c>
      <c r="C207" s="61">
        <f>C191+C199</f>
        <v>19353.78</v>
      </c>
      <c r="D207" s="61">
        <f>D191+D199</f>
        <v>19353.792796857913</v>
      </c>
      <c r="E207" s="38">
        <f>C207-D207</f>
        <v>-1.2796857914509019E-2</v>
      </c>
      <c r="F207" s="61">
        <f>F191+F199</f>
        <v>22227.870000000003</v>
      </c>
      <c r="G207" s="61">
        <f>G191+G199</f>
        <v>22227.802839536791</v>
      </c>
      <c r="H207" s="38">
        <f>F207-G207</f>
        <v>6.7160463211621391E-2</v>
      </c>
      <c r="I207" s="62">
        <f>I191+I199</f>
        <v>997320</v>
      </c>
      <c r="J207" s="62">
        <f>J191+J199</f>
        <v>997320</v>
      </c>
      <c r="K207" s="41">
        <f>I207-J207</f>
        <v>0</v>
      </c>
      <c r="L207" s="62">
        <f>L191+L199</f>
        <v>891738</v>
      </c>
      <c r="M207" s="62">
        <f>M191+M199</f>
        <v>891730</v>
      </c>
      <c r="N207" s="41">
        <f>L207-M207</f>
        <v>8</v>
      </c>
    </row>
    <row r="208" spans="1:14">
      <c r="A208" s="35"/>
      <c r="B208" s="35" t="s">
        <v>4</v>
      </c>
      <c r="C208" s="61">
        <f t="shared" ref="C208:D208" si="116">C192+C200</f>
        <v>25918.83</v>
      </c>
      <c r="D208" s="61">
        <f t="shared" si="116"/>
        <v>25918.807907537172</v>
      </c>
      <c r="E208" s="38">
        <f t="shared" ref="E208:E212" si="117">C208-D208</f>
        <v>2.2092462830187287E-2</v>
      </c>
      <c r="F208" s="61">
        <f t="shared" ref="F208:G208" si="118">F192+F200</f>
        <v>32880.080000000002</v>
      </c>
      <c r="G208" s="61">
        <f t="shared" si="118"/>
        <v>32880.729252868136</v>
      </c>
      <c r="H208" s="38">
        <f t="shared" ref="H208:H212" si="119">F208-G208</f>
        <v>-0.6492528681337717</v>
      </c>
      <c r="I208" s="62">
        <f t="shared" ref="I208:J208" si="120">I192+I200</f>
        <v>12781351</v>
      </c>
      <c r="J208" s="62">
        <f t="shared" si="120"/>
        <v>12781348</v>
      </c>
      <c r="K208" s="41">
        <f t="shared" ref="K208:K212" si="121">I208-J208</f>
        <v>3</v>
      </c>
      <c r="L208" s="62">
        <f t="shared" ref="L208:M208" si="122">L192+L200</f>
        <v>14155060</v>
      </c>
      <c r="M208" s="62">
        <f t="shared" si="122"/>
        <v>14155055</v>
      </c>
      <c r="N208" s="41">
        <f t="shared" ref="N208:N212" si="123">L208-M208</f>
        <v>5</v>
      </c>
    </row>
    <row r="209" spans="1:14">
      <c r="A209" s="35"/>
      <c r="B209" s="35" t="s">
        <v>5</v>
      </c>
      <c r="C209" s="61">
        <f t="shared" ref="C209:D209" si="124">C193+C201</f>
        <v>51454.94</v>
      </c>
      <c r="D209" s="61">
        <f t="shared" si="124"/>
        <v>52238.412804041523</v>
      </c>
      <c r="E209" s="38">
        <f t="shared" si="117"/>
        <v>-783.47280404152116</v>
      </c>
      <c r="F209" s="61">
        <f t="shared" ref="F209:G209" si="125">F193+F201</f>
        <v>63565.71</v>
      </c>
      <c r="G209" s="61">
        <f t="shared" si="125"/>
        <v>63565.699312407429</v>
      </c>
      <c r="H209" s="38">
        <f t="shared" si="119"/>
        <v>1.0687592570320703E-2</v>
      </c>
      <c r="I209" s="62">
        <f t="shared" ref="I209:J209" si="126">I193+I201</f>
        <v>807</v>
      </c>
      <c r="J209" s="62">
        <f t="shared" si="126"/>
        <v>2020</v>
      </c>
      <c r="K209" s="41">
        <f t="shared" si="121"/>
        <v>-1213</v>
      </c>
      <c r="L209" s="62">
        <f t="shared" ref="L209:M209" si="127">L193+L201</f>
        <v>1006</v>
      </c>
      <c r="M209" s="62">
        <f t="shared" si="127"/>
        <v>1006</v>
      </c>
      <c r="N209" s="41">
        <f t="shared" si="123"/>
        <v>0</v>
      </c>
    </row>
    <row r="210" spans="1:14">
      <c r="A210" s="35"/>
      <c r="B210" s="35" t="s">
        <v>6</v>
      </c>
      <c r="C210" s="61">
        <f t="shared" ref="C210:D210" si="128">C194+C202</f>
        <v>4424.07</v>
      </c>
      <c r="D210" s="61">
        <f t="shared" si="128"/>
        <v>5893.5840698267039</v>
      </c>
      <c r="E210" s="38">
        <f t="shared" si="117"/>
        <v>-1469.5140698267041</v>
      </c>
      <c r="F210" s="61">
        <f t="shared" ref="F210:G210" si="129">F194+F202</f>
        <v>1908.0500000000002</v>
      </c>
      <c r="G210" s="61">
        <f t="shared" si="129"/>
        <v>1908.0640195446697</v>
      </c>
      <c r="H210" s="38">
        <f t="shared" si="119"/>
        <v>-1.4019544669508832E-2</v>
      </c>
      <c r="I210" s="62">
        <f t="shared" ref="I210:J210" si="130">I194+I202</f>
        <v>2267</v>
      </c>
      <c r="J210" s="62">
        <f t="shared" si="130"/>
        <v>18574</v>
      </c>
      <c r="K210" s="41">
        <f t="shared" si="121"/>
        <v>-16307</v>
      </c>
      <c r="L210" s="62">
        <f t="shared" ref="L210:M210" si="131">L194+L202</f>
        <v>2420</v>
      </c>
      <c r="M210" s="62">
        <f t="shared" si="131"/>
        <v>2420</v>
      </c>
      <c r="N210" s="41">
        <f t="shared" si="123"/>
        <v>0</v>
      </c>
    </row>
    <row r="211" spans="1:14">
      <c r="A211" s="35"/>
      <c r="B211" s="35" t="s">
        <v>25</v>
      </c>
      <c r="C211" s="61">
        <f t="shared" ref="C211:D211" si="132">C195+C203</f>
        <v>1981.77</v>
      </c>
      <c r="D211" s="61">
        <f t="shared" si="132"/>
        <v>0</v>
      </c>
      <c r="E211" s="38">
        <f t="shared" si="117"/>
        <v>1981.77</v>
      </c>
      <c r="F211" s="61">
        <f t="shared" ref="F211:G211" si="133">F195+F203</f>
        <v>2354.31</v>
      </c>
      <c r="G211" s="61">
        <f t="shared" si="133"/>
        <v>2354.2938965216199</v>
      </c>
      <c r="H211" s="38">
        <f t="shared" si="119"/>
        <v>1.6103478380045999E-2</v>
      </c>
      <c r="I211" s="62">
        <f t="shared" ref="I211:J211" si="134">I195+I203</f>
        <v>16576</v>
      </c>
      <c r="J211" s="62">
        <f t="shared" si="134"/>
        <v>0</v>
      </c>
      <c r="K211" s="41">
        <f t="shared" si="121"/>
        <v>16576</v>
      </c>
      <c r="L211" s="62">
        <f t="shared" ref="L211:M211" si="135">L195+L203</f>
        <v>17512</v>
      </c>
      <c r="M211" s="62">
        <f t="shared" si="135"/>
        <v>17512</v>
      </c>
      <c r="N211" s="41">
        <f t="shared" si="123"/>
        <v>0</v>
      </c>
    </row>
    <row r="212" spans="1:14" s="29" customFormat="1" ht="15">
      <c r="A212" s="43"/>
      <c r="B212" s="43"/>
      <c r="C212" s="44">
        <f>C207+C208+C209+C210+C211</f>
        <v>103133.39</v>
      </c>
      <c r="D212" s="45">
        <f>D207+D208+D209+D210+D211</f>
        <v>103404.5975782633</v>
      </c>
      <c r="E212" s="46">
        <f t="shared" si="117"/>
        <v>-271.20757826330373</v>
      </c>
      <c r="F212" s="44">
        <f>F207+F208+F209+F210+F211</f>
        <v>122936.02</v>
      </c>
      <c r="G212" s="45">
        <f>G207+G208+G209+G210+G211</f>
        <v>122936.58932087866</v>
      </c>
      <c r="H212" s="46">
        <f t="shared" si="119"/>
        <v>-0.56932087865425274</v>
      </c>
      <c r="I212" s="44">
        <f>I207+I208+I209+I210+I211</f>
        <v>13798321</v>
      </c>
      <c r="J212" s="47">
        <f>J207+J208+J209+J210+J211</f>
        <v>13799262</v>
      </c>
      <c r="K212" s="48">
        <f t="shared" si="121"/>
        <v>-941</v>
      </c>
      <c r="L212" s="44">
        <f>L207+L208+L209+L210+L211</f>
        <v>15067736</v>
      </c>
      <c r="M212" s="47">
        <f>M207+M208+M209+M210+M211</f>
        <v>15067723</v>
      </c>
      <c r="N212" s="48">
        <f t="shared" si="123"/>
        <v>13</v>
      </c>
    </row>
    <row r="213" spans="1:14">
      <c r="A213" s="35"/>
      <c r="B213" s="35"/>
      <c r="C213" s="27"/>
      <c r="D213" s="39"/>
      <c r="E213" s="39"/>
      <c r="F213" s="27"/>
      <c r="G213" s="39"/>
      <c r="H213" s="39"/>
      <c r="I213" s="27"/>
      <c r="J213" s="42"/>
      <c r="K213" s="42"/>
      <c r="L213" s="27"/>
      <c r="M213" s="42"/>
      <c r="N213" s="27"/>
    </row>
    <row r="214" spans="1:14">
      <c r="A214" s="83"/>
      <c r="B214" s="83"/>
      <c r="C214" s="76"/>
      <c r="D214" s="84"/>
      <c r="E214" s="84"/>
      <c r="F214" s="76"/>
      <c r="G214" s="84"/>
      <c r="H214" s="84"/>
      <c r="I214" s="76"/>
      <c r="J214" s="85"/>
      <c r="K214" s="85"/>
      <c r="L214" s="76"/>
      <c r="M214" s="85"/>
    </row>
    <row r="215" spans="1:14">
      <c r="A215" s="86" t="s">
        <v>24</v>
      </c>
      <c r="M215" s="66"/>
    </row>
    <row r="216" spans="1:14">
      <c r="A216" s="86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94"/>
  <sheetViews>
    <sheetView tabSelected="1" zoomScale="93" zoomScaleNormal="93" zoomScaleSheetLayoutView="70" workbookViewId="0">
      <pane xSplit="2" ySplit="3" topLeftCell="C151" activePane="bottomRight" state="frozen"/>
      <selection pane="topRight" activeCell="C1" sqref="C1"/>
      <selection pane="bottomLeft" activeCell="A4" sqref="A4"/>
      <selection pane="bottomRight" activeCell="J158" sqref="J158"/>
    </sheetView>
  </sheetViews>
  <sheetFormatPr defaultColWidth="9.140625" defaultRowHeight="12.75"/>
  <cols>
    <col min="1" max="1" width="6.42578125" style="21" customWidth="1"/>
    <col min="2" max="2" width="30" style="21" customWidth="1"/>
    <col min="3" max="4" width="10.140625" style="21" customWidth="1"/>
    <col min="5" max="5" width="12.7109375" style="21" customWidth="1"/>
    <col min="6" max="12" width="11.7109375" style="21" customWidth="1"/>
    <col min="13" max="13" width="12.28515625" style="21" bestFit="1" customWidth="1"/>
    <col min="14" max="14" width="13.7109375" style="21" customWidth="1"/>
    <col min="15" max="15" width="15.5703125" style="21" customWidth="1"/>
    <col min="16" max="17" width="11.7109375" style="21" customWidth="1"/>
    <col min="18" max="18" width="12.28515625" style="21" bestFit="1" customWidth="1"/>
    <col min="19" max="20" width="11.7109375" style="21" customWidth="1"/>
    <col min="21" max="21" width="13.28515625" style="21" bestFit="1" customWidth="1"/>
    <col min="22" max="22" width="12.85546875" style="21" bestFit="1" customWidth="1"/>
    <col min="23" max="23" width="11.7109375" style="21" customWidth="1"/>
    <col min="24" max="25" width="14.7109375" style="21" customWidth="1"/>
    <col min="26" max="26" width="12.7109375" style="21" bestFit="1" customWidth="1"/>
    <col min="27" max="28" width="12.7109375" style="21" customWidth="1"/>
    <col min="29" max="30" width="11.7109375" style="21" customWidth="1"/>
    <col min="31" max="16384" width="9.140625" style="21"/>
  </cols>
  <sheetData>
    <row r="1" spans="1:47" ht="26.25" customHeight="1">
      <c r="A1" s="22"/>
      <c r="B1" s="175" t="s">
        <v>127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Y1" s="172" t="s">
        <v>56</v>
      </c>
      <c r="Z1" s="172"/>
      <c r="AA1" s="172"/>
      <c r="AB1" s="172"/>
      <c r="AC1" s="172"/>
      <c r="AD1" s="172"/>
    </row>
    <row r="2" spans="1:47" ht="31.9" customHeight="1">
      <c r="A2" s="173" t="s">
        <v>2</v>
      </c>
      <c r="B2" s="173" t="s">
        <v>0</v>
      </c>
      <c r="C2" s="173" t="s">
        <v>60</v>
      </c>
      <c r="D2" s="173"/>
      <c r="E2" s="173"/>
      <c r="F2" s="173"/>
      <c r="G2" s="173"/>
      <c r="H2" s="173"/>
      <c r="I2" s="173"/>
      <c r="J2" s="173" t="s">
        <v>8</v>
      </c>
      <c r="K2" s="173"/>
      <c r="L2" s="173"/>
      <c r="M2" s="173"/>
      <c r="N2" s="173"/>
      <c r="O2" s="173"/>
      <c r="P2" s="173"/>
      <c r="Q2" s="174" t="s">
        <v>9</v>
      </c>
      <c r="R2" s="174"/>
      <c r="S2" s="174"/>
      <c r="T2" s="174"/>
      <c r="U2" s="174"/>
      <c r="V2" s="174"/>
      <c r="W2" s="174"/>
      <c r="X2" s="174" t="s">
        <v>55</v>
      </c>
      <c r="Y2" s="174"/>
      <c r="Z2" s="174"/>
      <c r="AA2" s="174"/>
      <c r="AB2" s="174"/>
      <c r="AC2" s="174"/>
      <c r="AD2" s="174"/>
    </row>
    <row r="3" spans="1:47" s="20" customFormat="1" ht="51" customHeight="1">
      <c r="A3" s="173"/>
      <c r="B3" s="173"/>
      <c r="C3" s="107" t="s">
        <v>116</v>
      </c>
      <c r="D3" s="107" t="s">
        <v>117</v>
      </c>
      <c r="E3" s="92" t="s">
        <v>23</v>
      </c>
      <c r="F3" s="108" t="s">
        <v>119</v>
      </c>
      <c r="G3" s="108" t="s">
        <v>118</v>
      </c>
      <c r="H3" s="92" t="s">
        <v>23</v>
      </c>
      <c r="I3" s="92" t="s">
        <v>54</v>
      </c>
      <c r="J3" s="108" t="s">
        <v>120</v>
      </c>
      <c r="K3" s="108" t="s">
        <v>117</v>
      </c>
      <c r="L3" s="92" t="s">
        <v>23</v>
      </c>
      <c r="M3" s="108" t="s">
        <v>119</v>
      </c>
      <c r="N3" s="108" t="s">
        <v>118</v>
      </c>
      <c r="O3" s="92" t="s">
        <v>23</v>
      </c>
      <c r="P3" s="92" t="s">
        <v>54</v>
      </c>
      <c r="Q3" s="107" t="s">
        <v>116</v>
      </c>
      <c r="R3" s="107" t="s">
        <v>117</v>
      </c>
      <c r="S3" s="92" t="s">
        <v>23</v>
      </c>
      <c r="T3" s="108" t="s">
        <v>119</v>
      </c>
      <c r="U3" s="108" t="s">
        <v>118</v>
      </c>
      <c r="V3" s="92" t="s">
        <v>23</v>
      </c>
      <c r="W3" s="92" t="s">
        <v>54</v>
      </c>
      <c r="X3" s="107" t="s">
        <v>116</v>
      </c>
      <c r="Y3" s="107" t="s">
        <v>117</v>
      </c>
      <c r="Z3" s="92" t="s">
        <v>23</v>
      </c>
      <c r="AA3" s="108" t="s">
        <v>119</v>
      </c>
      <c r="AB3" s="108" t="s">
        <v>118</v>
      </c>
      <c r="AC3" s="92" t="s">
        <v>23</v>
      </c>
      <c r="AD3" s="92" t="s">
        <v>54</v>
      </c>
    </row>
    <row r="4" spans="1:47" ht="15">
      <c r="A4" s="132">
        <v>1</v>
      </c>
      <c r="B4" s="130" t="s">
        <v>65</v>
      </c>
      <c r="C4" s="101">
        <v>4.3672317832927599</v>
      </c>
      <c r="D4" s="101">
        <v>4.3580589119074808</v>
      </c>
      <c r="E4" s="110">
        <v>-0.21003857455815789</v>
      </c>
      <c r="F4" s="101">
        <v>21.715635823293706</v>
      </c>
      <c r="G4" s="101">
        <v>48.62729226330439</v>
      </c>
      <c r="H4" s="110">
        <v>123.92755459245346</v>
      </c>
      <c r="I4" s="110">
        <v>1.5895838632317839E-2</v>
      </c>
      <c r="J4" s="102">
        <v>12</v>
      </c>
      <c r="K4" s="102">
        <v>200</v>
      </c>
      <c r="L4" s="110">
        <v>1566.6666666666667</v>
      </c>
      <c r="M4" s="101">
        <v>20</v>
      </c>
      <c r="N4" s="101">
        <v>1502</v>
      </c>
      <c r="O4" s="110">
        <v>7409.9999999999991</v>
      </c>
      <c r="P4" s="110">
        <v>7.2462680875077087E-3</v>
      </c>
      <c r="Q4" s="102">
        <v>50878</v>
      </c>
      <c r="R4" s="102">
        <v>41790</v>
      </c>
      <c r="S4" s="110">
        <v>-17.862337356028146</v>
      </c>
      <c r="T4" s="102">
        <v>284287</v>
      </c>
      <c r="U4" s="102">
        <v>539910</v>
      </c>
      <c r="V4" s="110">
        <v>89.917231530108666</v>
      </c>
      <c r="W4" s="110">
        <v>0.25211920972892593</v>
      </c>
      <c r="X4" s="101">
        <v>369.33144999999996</v>
      </c>
      <c r="Y4" s="101">
        <v>559.08663647243907</v>
      </c>
      <c r="Z4" s="110">
        <v>51.378020060961262</v>
      </c>
      <c r="AA4" s="101">
        <v>1755.7095499999998</v>
      </c>
      <c r="AB4" s="101">
        <v>5558.8562833724391</v>
      </c>
      <c r="AC4" s="110">
        <v>216.61593931481659</v>
      </c>
      <c r="AD4" s="110">
        <v>6.6256521534538995E-2</v>
      </c>
    </row>
    <row r="5" spans="1:47">
      <c r="A5" s="112"/>
      <c r="B5" s="94" t="s">
        <v>3</v>
      </c>
      <c r="C5" s="96">
        <v>0</v>
      </c>
      <c r="D5" s="96">
        <v>0</v>
      </c>
      <c r="E5" s="113" t="s">
        <v>126</v>
      </c>
      <c r="F5" s="96">
        <v>0</v>
      </c>
      <c r="G5" s="96">
        <v>0</v>
      </c>
      <c r="H5" s="113" t="s">
        <v>126</v>
      </c>
      <c r="I5" s="113">
        <v>0</v>
      </c>
      <c r="J5" s="103">
        <v>0</v>
      </c>
      <c r="K5" s="103">
        <v>0</v>
      </c>
      <c r="L5" s="113" t="s">
        <v>126</v>
      </c>
      <c r="M5" s="103">
        <v>0</v>
      </c>
      <c r="N5" s="103">
        <v>0</v>
      </c>
      <c r="O5" s="113" t="s">
        <v>126</v>
      </c>
      <c r="P5" s="113">
        <v>0</v>
      </c>
      <c r="Q5" s="103"/>
      <c r="R5" s="103"/>
      <c r="S5" s="113" t="s">
        <v>126</v>
      </c>
      <c r="T5" s="103"/>
      <c r="U5" s="103"/>
      <c r="V5" s="113" t="s">
        <v>126</v>
      </c>
      <c r="W5" s="113" t="s">
        <v>126</v>
      </c>
      <c r="X5" s="96">
        <v>0</v>
      </c>
      <c r="Y5" s="96">
        <v>0</v>
      </c>
      <c r="Z5" s="113" t="s">
        <v>126</v>
      </c>
      <c r="AA5" s="96">
        <v>0</v>
      </c>
      <c r="AB5" s="96">
        <v>0</v>
      </c>
      <c r="AC5" s="113" t="s">
        <v>126</v>
      </c>
      <c r="AD5" s="113">
        <v>0</v>
      </c>
    </row>
    <row r="6" spans="1:47">
      <c r="A6" s="112"/>
      <c r="B6" s="94" t="s">
        <v>4</v>
      </c>
      <c r="C6" s="96">
        <v>4.2294536744444444E-2</v>
      </c>
      <c r="D6" s="96">
        <v>0.34826433100000004</v>
      </c>
      <c r="E6" s="113">
        <v>723.42628104502398</v>
      </c>
      <c r="F6" s="96">
        <v>4.3122368000000008E-2</v>
      </c>
      <c r="G6" s="96">
        <v>2.7329967259999988</v>
      </c>
      <c r="H6" s="113">
        <v>6237.7705185392369</v>
      </c>
      <c r="I6" s="113">
        <v>3.0703660216454382E-3</v>
      </c>
      <c r="J6" s="103">
        <v>11</v>
      </c>
      <c r="K6" s="103">
        <v>200</v>
      </c>
      <c r="L6" s="113">
        <v>1718.1818181818182</v>
      </c>
      <c r="M6" s="103">
        <v>13</v>
      </c>
      <c r="N6" s="103">
        <v>1494</v>
      </c>
      <c r="O6" s="113">
        <v>11392.307692307691</v>
      </c>
      <c r="P6" s="113">
        <v>7.604191161425679E-3</v>
      </c>
      <c r="Q6" s="103"/>
      <c r="R6" s="103"/>
      <c r="S6" s="113" t="s">
        <v>126</v>
      </c>
      <c r="T6" s="103"/>
      <c r="U6" s="103"/>
      <c r="V6" s="113" t="s">
        <v>126</v>
      </c>
      <c r="W6" s="113" t="s">
        <v>126</v>
      </c>
      <c r="X6" s="96">
        <v>34.950000000000003</v>
      </c>
      <c r="Y6" s="96">
        <v>281.2</v>
      </c>
      <c r="Z6" s="113">
        <v>704.57796852646629</v>
      </c>
      <c r="AA6" s="96">
        <v>37.5</v>
      </c>
      <c r="AB6" s="96">
        <v>2266.96</v>
      </c>
      <c r="AC6" s="113">
        <v>5945.2266666666665</v>
      </c>
      <c r="AD6" s="113">
        <v>8.5567202713670007E-2</v>
      </c>
    </row>
    <row r="7" spans="1:47">
      <c r="A7" s="112"/>
      <c r="B7" s="94" t="s">
        <v>5</v>
      </c>
      <c r="C7" s="96">
        <v>4.3249372465483154</v>
      </c>
      <c r="D7" s="96">
        <v>4.0097945809074806</v>
      </c>
      <c r="E7" s="113">
        <v>-7.2866413470472065</v>
      </c>
      <c r="F7" s="96">
        <v>21.672513455293707</v>
      </c>
      <c r="G7" s="96">
        <v>45.894295537304394</v>
      </c>
      <c r="H7" s="113">
        <v>111.76268101978866</v>
      </c>
      <c r="I7" s="113">
        <v>2.7990230248509201E-2</v>
      </c>
      <c r="J7" s="103">
        <v>1</v>
      </c>
      <c r="K7" s="103">
        <v>0</v>
      </c>
      <c r="L7" s="113">
        <v>-100</v>
      </c>
      <c r="M7" s="103">
        <v>7</v>
      </c>
      <c r="N7" s="103">
        <v>8</v>
      </c>
      <c r="O7" s="113">
        <v>14.285714285714279</v>
      </c>
      <c r="P7" s="113">
        <v>0.29673590504451042</v>
      </c>
      <c r="Q7" s="103">
        <v>50878</v>
      </c>
      <c r="R7" s="103">
        <v>41790</v>
      </c>
      <c r="S7" s="113">
        <v>-17.862337356028146</v>
      </c>
      <c r="T7" s="103">
        <v>284287</v>
      </c>
      <c r="U7" s="103">
        <v>539910</v>
      </c>
      <c r="V7" s="113">
        <v>89.917231530108666</v>
      </c>
      <c r="W7" s="113">
        <v>0.42496157765988063</v>
      </c>
      <c r="X7" s="96">
        <v>334.38144999999997</v>
      </c>
      <c r="Y7" s="96">
        <v>277.88663647243908</v>
      </c>
      <c r="Z7" s="113">
        <v>-16.895319261149478</v>
      </c>
      <c r="AA7" s="96">
        <v>1718.2095499999998</v>
      </c>
      <c r="AB7" s="96">
        <v>3291.896283372439</v>
      </c>
      <c r="AC7" s="113">
        <v>91.588754897354605</v>
      </c>
      <c r="AD7" s="113">
        <v>0.18174747875454036</v>
      </c>
    </row>
    <row r="8" spans="1:47">
      <c r="A8" s="112"/>
      <c r="B8" s="94" t="s">
        <v>6</v>
      </c>
      <c r="C8" s="96">
        <v>0</v>
      </c>
      <c r="D8" s="96">
        <v>0</v>
      </c>
      <c r="E8" s="113" t="s">
        <v>126</v>
      </c>
      <c r="F8" s="96">
        <v>0</v>
      </c>
      <c r="G8" s="96">
        <v>0</v>
      </c>
      <c r="H8" s="113" t="s">
        <v>126</v>
      </c>
      <c r="I8" s="113">
        <v>0</v>
      </c>
      <c r="J8" s="103">
        <v>0</v>
      </c>
      <c r="K8" s="103">
        <v>0</v>
      </c>
      <c r="L8" s="113" t="s">
        <v>126</v>
      </c>
      <c r="M8" s="103"/>
      <c r="N8" s="103"/>
      <c r="O8" s="113" t="s">
        <v>126</v>
      </c>
      <c r="P8" s="113">
        <v>0</v>
      </c>
      <c r="Q8" s="106">
        <v>0</v>
      </c>
      <c r="R8" s="106">
        <v>0</v>
      </c>
      <c r="S8" s="113" t="s">
        <v>126</v>
      </c>
      <c r="T8" s="106">
        <v>0</v>
      </c>
      <c r="U8" s="106">
        <v>0</v>
      </c>
      <c r="V8" s="113" t="s">
        <v>126</v>
      </c>
      <c r="W8" s="113">
        <v>0</v>
      </c>
      <c r="X8" s="96">
        <v>0</v>
      </c>
      <c r="Y8" s="96">
        <v>0</v>
      </c>
      <c r="Z8" s="113" t="s">
        <v>126</v>
      </c>
      <c r="AA8" s="96">
        <v>0</v>
      </c>
      <c r="AB8" s="96">
        <v>0</v>
      </c>
      <c r="AC8" s="113" t="s">
        <v>126</v>
      </c>
      <c r="AD8" s="113">
        <v>0</v>
      </c>
    </row>
    <row r="9" spans="1:47">
      <c r="A9" s="112"/>
      <c r="B9" s="114" t="s">
        <v>25</v>
      </c>
      <c r="C9" s="96">
        <v>0</v>
      </c>
      <c r="D9" s="96">
        <v>0</v>
      </c>
      <c r="E9" s="113" t="s">
        <v>126</v>
      </c>
      <c r="F9" s="96">
        <v>0</v>
      </c>
      <c r="G9" s="96">
        <v>0</v>
      </c>
      <c r="H9" s="113" t="s">
        <v>126</v>
      </c>
      <c r="I9" s="113">
        <v>0</v>
      </c>
      <c r="J9" s="103">
        <v>0</v>
      </c>
      <c r="K9" s="103">
        <v>0</v>
      </c>
      <c r="L9" s="113" t="s">
        <v>126</v>
      </c>
      <c r="M9" s="103">
        <v>0</v>
      </c>
      <c r="N9" s="103">
        <v>0</v>
      </c>
      <c r="O9" s="113" t="s">
        <v>126</v>
      </c>
      <c r="P9" s="113">
        <v>0</v>
      </c>
      <c r="Q9" s="106">
        <v>0</v>
      </c>
      <c r="R9" s="106">
        <v>0</v>
      </c>
      <c r="S9" s="113" t="s">
        <v>126</v>
      </c>
      <c r="T9" s="106">
        <v>0</v>
      </c>
      <c r="U9" s="106">
        <v>0</v>
      </c>
      <c r="V9" s="113" t="s">
        <v>126</v>
      </c>
      <c r="W9" s="113">
        <v>0</v>
      </c>
      <c r="X9" s="96">
        <v>0</v>
      </c>
      <c r="Y9" s="96">
        <v>0</v>
      </c>
      <c r="Z9" s="113" t="s">
        <v>126</v>
      </c>
      <c r="AA9" s="96">
        <v>0</v>
      </c>
      <c r="AB9" s="96">
        <v>0</v>
      </c>
      <c r="AC9" s="113" t="s">
        <v>126</v>
      </c>
      <c r="AD9" s="113">
        <v>0</v>
      </c>
    </row>
    <row r="10" spans="1:47">
      <c r="A10" s="112"/>
      <c r="B10" s="114"/>
      <c r="C10" s="104"/>
      <c r="D10" s="104"/>
      <c r="E10" s="113"/>
      <c r="F10" s="104"/>
      <c r="G10" s="104"/>
      <c r="H10" s="113"/>
      <c r="I10" s="110"/>
      <c r="J10" s="103"/>
      <c r="K10" s="103"/>
      <c r="L10" s="113"/>
      <c r="M10" s="103"/>
      <c r="N10" s="103"/>
      <c r="O10" s="113"/>
      <c r="P10" s="113"/>
      <c r="Q10" s="103"/>
      <c r="R10" s="103"/>
      <c r="S10" s="113"/>
      <c r="T10" s="103"/>
      <c r="U10" s="103"/>
      <c r="V10" s="113"/>
      <c r="W10" s="113"/>
      <c r="X10" s="96"/>
      <c r="Y10" s="96"/>
      <c r="Z10" s="113"/>
      <c r="AA10" s="96"/>
      <c r="AB10" s="96"/>
      <c r="AC10" s="113"/>
      <c r="AD10" s="113"/>
    </row>
    <row r="11" spans="1:47" s="20" customFormat="1" ht="15">
      <c r="A11" s="109">
        <v>2</v>
      </c>
      <c r="B11" s="93" t="s">
        <v>46</v>
      </c>
      <c r="C11" s="101">
        <v>504.00130077779698</v>
      </c>
      <c r="D11" s="101">
        <v>616.35013431606319</v>
      </c>
      <c r="E11" s="110">
        <v>22.291377693844151</v>
      </c>
      <c r="F11" s="101">
        <v>5780.1022709048657</v>
      </c>
      <c r="G11" s="101">
        <v>7665.288348938293</v>
      </c>
      <c r="H11" s="110">
        <v>32.615099001324488</v>
      </c>
      <c r="I11" s="110">
        <v>2.5057160494387207</v>
      </c>
      <c r="J11" s="102">
        <v>24547</v>
      </c>
      <c r="K11" s="102">
        <v>30054</v>
      </c>
      <c r="L11" s="110">
        <v>22.434513382490739</v>
      </c>
      <c r="M11" s="101">
        <v>215987</v>
      </c>
      <c r="N11" s="101">
        <v>274982</v>
      </c>
      <c r="O11" s="110">
        <v>27.314143906809196</v>
      </c>
      <c r="P11" s="110">
        <v>1.3266266919034919</v>
      </c>
      <c r="Q11" s="102">
        <v>400313</v>
      </c>
      <c r="R11" s="102">
        <v>441767</v>
      </c>
      <c r="S11" s="110">
        <v>10.355396901924241</v>
      </c>
      <c r="T11" s="102">
        <v>4107871.398</v>
      </c>
      <c r="U11" s="102">
        <v>3939763</v>
      </c>
      <c r="V11" s="110">
        <v>-4.0923481217510105</v>
      </c>
      <c r="W11" s="110">
        <v>1.8397324259214729</v>
      </c>
      <c r="X11" s="101">
        <v>43180.393859072006</v>
      </c>
      <c r="Y11" s="101">
        <v>32137.187882670984</v>
      </c>
      <c r="Z11" s="110">
        <v>-25.574583716032716</v>
      </c>
      <c r="AA11" s="101">
        <v>258949.22224087705</v>
      </c>
      <c r="AB11" s="101">
        <v>363810.94205390301</v>
      </c>
      <c r="AC11" s="110">
        <v>40.495089695802442</v>
      </c>
      <c r="AD11" s="110">
        <v>4.3362962249622061</v>
      </c>
      <c r="AU11" s="111"/>
    </row>
    <row r="12" spans="1:47">
      <c r="A12" s="112"/>
      <c r="B12" s="94" t="s">
        <v>3</v>
      </c>
      <c r="C12" s="96">
        <v>51.027964894749999</v>
      </c>
      <c r="D12" s="96">
        <v>34.119722689919996</v>
      </c>
      <c r="E12" s="113">
        <v>-33.135246995847965</v>
      </c>
      <c r="F12" s="96">
        <v>332.84234207244924</v>
      </c>
      <c r="G12" s="96">
        <v>499.10218561738725</v>
      </c>
      <c r="H12" s="113">
        <v>49.951530358102247</v>
      </c>
      <c r="I12" s="113">
        <v>1.2593338786190398</v>
      </c>
      <c r="J12" s="103">
        <v>470</v>
      </c>
      <c r="K12" s="103">
        <v>384</v>
      </c>
      <c r="L12" s="113">
        <v>-18.297872340425535</v>
      </c>
      <c r="M12" s="103">
        <v>4803</v>
      </c>
      <c r="N12" s="103">
        <v>5482</v>
      </c>
      <c r="O12" s="113">
        <v>14.136997709764731</v>
      </c>
      <c r="P12" s="113">
        <v>0.52376279908317624</v>
      </c>
      <c r="Q12" s="103"/>
      <c r="R12" s="103"/>
      <c r="S12" s="113" t="s">
        <v>126</v>
      </c>
      <c r="T12" s="103"/>
      <c r="U12" s="103"/>
      <c r="V12" s="113" t="s">
        <v>126</v>
      </c>
      <c r="W12" s="113" t="s">
        <v>126</v>
      </c>
      <c r="X12" s="96">
        <v>79.758818762000203</v>
      </c>
      <c r="Y12" s="96">
        <v>38.804455122000093</v>
      </c>
      <c r="Z12" s="113">
        <v>-51.347755991983355</v>
      </c>
      <c r="AA12" s="96">
        <v>489.9492910710004</v>
      </c>
      <c r="AB12" s="96">
        <v>573.57444175599983</v>
      </c>
      <c r="AC12" s="113">
        <v>17.068123621977229</v>
      </c>
      <c r="AD12" s="113">
        <v>1.82264022994775</v>
      </c>
    </row>
    <row r="13" spans="1:47">
      <c r="A13" s="112"/>
      <c r="B13" s="94" t="s">
        <v>4</v>
      </c>
      <c r="C13" s="96">
        <v>261.02784643004702</v>
      </c>
      <c r="D13" s="96">
        <v>395.56043685814331</v>
      </c>
      <c r="E13" s="113">
        <v>51.539554981598393</v>
      </c>
      <c r="F13" s="96">
        <v>2207.1527308324144</v>
      </c>
      <c r="G13" s="96">
        <v>2943.6461274239055</v>
      </c>
      <c r="H13" s="113">
        <v>33.368483580822563</v>
      </c>
      <c r="I13" s="113">
        <v>3.3070186156492829</v>
      </c>
      <c r="J13" s="103">
        <v>24014</v>
      </c>
      <c r="K13" s="103">
        <v>29642</v>
      </c>
      <c r="L13" s="113">
        <v>23.436328808195217</v>
      </c>
      <c r="M13" s="103">
        <v>210839</v>
      </c>
      <c r="N13" s="103">
        <v>269124</v>
      </c>
      <c r="O13" s="113">
        <v>27.64431627924624</v>
      </c>
      <c r="P13" s="113">
        <v>1.3697927323477406</v>
      </c>
      <c r="Q13" s="103"/>
      <c r="R13" s="103"/>
      <c r="S13" s="113" t="s">
        <v>126</v>
      </c>
      <c r="T13" s="103"/>
      <c r="U13" s="103"/>
      <c r="V13" s="113" t="s">
        <v>126</v>
      </c>
      <c r="W13" s="113" t="s">
        <v>126</v>
      </c>
      <c r="X13" s="96">
        <v>4376.5490001689996</v>
      </c>
      <c r="Y13" s="96">
        <v>9085.1280336079817</v>
      </c>
      <c r="Z13" s="113">
        <v>107.58657182307707</v>
      </c>
      <c r="AA13" s="96">
        <v>36086.750403496997</v>
      </c>
      <c r="AB13" s="96">
        <v>75398.306990477984</v>
      </c>
      <c r="AC13" s="113">
        <v>108.9362609473739</v>
      </c>
      <c r="AD13" s="113">
        <v>2.8459356223849346</v>
      </c>
    </row>
    <row r="14" spans="1:47">
      <c r="A14" s="112"/>
      <c r="B14" s="94" t="s">
        <v>5</v>
      </c>
      <c r="C14" s="96">
        <v>165.27968009399999</v>
      </c>
      <c r="D14" s="96">
        <v>174.64809006400003</v>
      </c>
      <c r="E14" s="113">
        <v>5.6682164224131526</v>
      </c>
      <c r="F14" s="96">
        <v>3051.2698014440016</v>
      </c>
      <c r="G14" s="96">
        <v>4062.330795803</v>
      </c>
      <c r="H14" s="113">
        <v>33.1357454486823</v>
      </c>
      <c r="I14" s="113">
        <v>2.4775535388207879</v>
      </c>
      <c r="J14" s="103">
        <v>15</v>
      </c>
      <c r="K14" s="103">
        <v>9</v>
      </c>
      <c r="L14" s="113">
        <v>-40</v>
      </c>
      <c r="M14" s="103">
        <v>79</v>
      </c>
      <c r="N14" s="103">
        <v>143</v>
      </c>
      <c r="O14" s="113">
        <v>81.012658227848107</v>
      </c>
      <c r="P14" s="113">
        <v>5.3041543026706233</v>
      </c>
      <c r="Q14" s="103">
        <v>277306</v>
      </c>
      <c r="R14" s="103">
        <v>377436</v>
      </c>
      <c r="S14" s="113">
        <v>36.108126041268498</v>
      </c>
      <c r="T14" s="103">
        <v>3432569.398</v>
      </c>
      <c r="U14" s="103">
        <v>3113826</v>
      </c>
      <c r="V14" s="113">
        <v>-9.285854444362208</v>
      </c>
      <c r="W14" s="113">
        <v>2.4508833129935645</v>
      </c>
      <c r="X14" s="96">
        <v>3888.8908980170004</v>
      </c>
      <c r="Y14" s="96">
        <v>6170.712246479</v>
      </c>
      <c r="Z14" s="113">
        <v>58.675375789676501</v>
      </c>
      <c r="AA14" s="96">
        <v>38429.114113243042</v>
      </c>
      <c r="AB14" s="96">
        <v>47734.442821551005</v>
      </c>
      <c r="AC14" s="113">
        <v>24.214268070002841</v>
      </c>
      <c r="AD14" s="113">
        <v>2.6354459210609704</v>
      </c>
    </row>
    <row r="15" spans="1:47">
      <c r="A15" s="112"/>
      <c r="B15" s="94" t="s">
        <v>6</v>
      </c>
      <c r="C15" s="96">
        <v>1.0463126780000001</v>
      </c>
      <c r="D15" s="96">
        <v>0.93526476200000008</v>
      </c>
      <c r="E15" s="113">
        <v>-10.613262969561376</v>
      </c>
      <c r="F15" s="96">
        <v>23.932932886999996</v>
      </c>
      <c r="G15" s="96">
        <v>13.070224798</v>
      </c>
      <c r="H15" s="113">
        <v>-45.388119125593896</v>
      </c>
      <c r="I15" s="113">
        <v>0.60799054510547712</v>
      </c>
      <c r="J15" s="103">
        <v>0</v>
      </c>
      <c r="K15" s="103">
        <v>1</v>
      </c>
      <c r="L15" s="113" t="s">
        <v>126</v>
      </c>
      <c r="M15" s="103">
        <v>1</v>
      </c>
      <c r="N15" s="103">
        <v>1</v>
      </c>
      <c r="O15" s="113">
        <v>0</v>
      </c>
      <c r="P15" s="113">
        <v>2.5043826696719257E-2</v>
      </c>
      <c r="Q15" s="106">
        <v>0</v>
      </c>
      <c r="R15" s="106">
        <v>8</v>
      </c>
      <c r="S15" s="113" t="s">
        <v>126</v>
      </c>
      <c r="T15" s="106">
        <v>145</v>
      </c>
      <c r="U15" s="106">
        <v>8</v>
      </c>
      <c r="V15" s="113">
        <v>-94.482758620689651</v>
      </c>
      <c r="W15" s="113">
        <v>9.8723724372246698E-5</v>
      </c>
      <c r="X15" s="96">
        <v>0</v>
      </c>
      <c r="Y15" s="96">
        <v>0</v>
      </c>
      <c r="Z15" s="113" t="s">
        <v>126</v>
      </c>
      <c r="AA15" s="96">
        <v>0</v>
      </c>
      <c r="AB15" s="96">
        <v>0</v>
      </c>
      <c r="AC15" s="113" t="s">
        <v>126</v>
      </c>
      <c r="AD15" s="113">
        <v>0</v>
      </c>
    </row>
    <row r="16" spans="1:47">
      <c r="A16" s="112"/>
      <c r="B16" s="114" t="s">
        <v>25</v>
      </c>
      <c r="C16" s="96">
        <v>25.619496681000001</v>
      </c>
      <c r="D16" s="96">
        <v>11.086619941999873</v>
      </c>
      <c r="E16" s="113">
        <v>-56.725847974125266</v>
      </c>
      <c r="F16" s="96">
        <v>164.90446366900008</v>
      </c>
      <c r="G16" s="96">
        <v>147.13901529599994</v>
      </c>
      <c r="H16" s="113">
        <v>-10.773176163781317</v>
      </c>
      <c r="I16" s="113">
        <v>1.3193223048138885</v>
      </c>
      <c r="J16" s="103">
        <v>48</v>
      </c>
      <c r="K16" s="103">
        <v>18</v>
      </c>
      <c r="L16" s="113">
        <v>-62.5</v>
      </c>
      <c r="M16" s="103">
        <v>265</v>
      </c>
      <c r="N16" s="103">
        <v>232</v>
      </c>
      <c r="O16" s="113">
        <v>-12.452830188679243</v>
      </c>
      <c r="P16" s="113">
        <v>0.84348300309034718</v>
      </c>
      <c r="Q16" s="106">
        <v>123007</v>
      </c>
      <c r="R16" s="106">
        <v>64323</v>
      </c>
      <c r="S16" s="113">
        <v>-47.707854024567709</v>
      </c>
      <c r="T16" s="106">
        <v>675157</v>
      </c>
      <c r="U16" s="106">
        <v>825929</v>
      </c>
      <c r="V16" s="113">
        <v>22.331398474725141</v>
      </c>
      <c r="W16" s="113">
        <v>1.0455308190307675</v>
      </c>
      <c r="X16" s="96">
        <v>34835.195142124008</v>
      </c>
      <c r="Y16" s="96">
        <v>16842.543147462002</v>
      </c>
      <c r="Z16" s="113">
        <v>-51.650785710411093</v>
      </c>
      <c r="AA16" s="96">
        <v>183943.40843306601</v>
      </c>
      <c r="AB16" s="96">
        <v>240104.61780011799</v>
      </c>
      <c r="AC16" s="113">
        <v>30.531786838933208</v>
      </c>
      <c r="AD16" s="113">
        <v>6.3079420767051477</v>
      </c>
    </row>
    <row r="17" spans="1:30">
      <c r="A17" s="112"/>
      <c r="B17" s="114"/>
      <c r="C17" s="104"/>
      <c r="D17" s="104"/>
      <c r="E17" s="113"/>
      <c r="F17" s="104"/>
      <c r="G17" s="104"/>
      <c r="H17" s="113"/>
      <c r="I17" s="110"/>
      <c r="J17" s="103"/>
      <c r="K17" s="103"/>
      <c r="L17" s="113"/>
      <c r="M17" s="103"/>
      <c r="N17" s="103"/>
      <c r="O17" s="113"/>
      <c r="P17" s="113"/>
      <c r="Q17" s="103"/>
      <c r="R17" s="103"/>
      <c r="S17" s="113"/>
      <c r="T17" s="103"/>
      <c r="U17" s="103"/>
      <c r="V17" s="113"/>
      <c r="W17" s="113"/>
      <c r="X17" s="96"/>
      <c r="Y17" s="96"/>
      <c r="Z17" s="113"/>
      <c r="AA17" s="96"/>
      <c r="AB17" s="96"/>
      <c r="AC17" s="113"/>
      <c r="AD17" s="113"/>
    </row>
    <row r="18" spans="1:30" s="20" customFormat="1" ht="15">
      <c r="A18" s="109">
        <v>3</v>
      </c>
      <c r="B18" s="93" t="s">
        <v>64</v>
      </c>
      <c r="C18" s="101">
        <v>103.8898475269979</v>
      </c>
      <c r="D18" s="101">
        <v>99.392146132995677</v>
      </c>
      <c r="E18" s="110">
        <v>-4.3292982914749256</v>
      </c>
      <c r="F18" s="101">
        <v>863.58247738299292</v>
      </c>
      <c r="G18" s="101">
        <v>1064.4170024149914</v>
      </c>
      <c r="H18" s="110">
        <v>23.255974998544325</v>
      </c>
      <c r="I18" s="110">
        <v>0.34794865435376832</v>
      </c>
      <c r="J18" s="102">
        <v>4827</v>
      </c>
      <c r="K18" s="102">
        <v>5201</v>
      </c>
      <c r="L18" s="110">
        <v>7.7480836958773613</v>
      </c>
      <c r="M18" s="101">
        <v>43257</v>
      </c>
      <c r="N18" s="101">
        <v>50101</v>
      </c>
      <c r="O18" s="110">
        <v>15.821716716369604</v>
      </c>
      <c r="P18" s="110">
        <v>0.24170790775780543</v>
      </c>
      <c r="Q18" s="102">
        <v>222516</v>
      </c>
      <c r="R18" s="102">
        <v>136970</v>
      </c>
      <c r="S18" s="110">
        <v>-38.444875874094443</v>
      </c>
      <c r="T18" s="102">
        <v>1288073</v>
      </c>
      <c r="U18" s="102">
        <v>1713665</v>
      </c>
      <c r="V18" s="110">
        <v>33.040984478364187</v>
      </c>
      <c r="W18" s="110">
        <v>0.80022201022414818</v>
      </c>
      <c r="X18" s="101">
        <v>2032.1401809000063</v>
      </c>
      <c r="Y18" s="101">
        <v>2125.0182429000029</v>
      </c>
      <c r="Z18" s="110">
        <v>4.570455467243506</v>
      </c>
      <c r="AA18" s="101">
        <v>17114.989102124055</v>
      </c>
      <c r="AB18" s="101">
        <v>21326.659542880014</v>
      </c>
      <c r="AC18" s="110">
        <v>24.608081346854437</v>
      </c>
      <c r="AD18" s="110">
        <v>0.25419442511749124</v>
      </c>
    </row>
    <row r="19" spans="1:30">
      <c r="A19" s="112"/>
      <c r="B19" s="94" t="s">
        <v>3</v>
      </c>
      <c r="C19" s="96">
        <v>28.451179800000006</v>
      </c>
      <c r="D19" s="96">
        <v>12.906793100000002</v>
      </c>
      <c r="E19" s="113">
        <v>-54.635297408650871</v>
      </c>
      <c r="F19" s="96">
        <v>196.32665730000005</v>
      </c>
      <c r="G19" s="96">
        <v>208.31382849999989</v>
      </c>
      <c r="H19" s="113">
        <v>6.1057277523360654</v>
      </c>
      <c r="I19" s="113">
        <v>0.52561713647953079</v>
      </c>
      <c r="J19" s="103">
        <v>563</v>
      </c>
      <c r="K19" s="103">
        <v>276</v>
      </c>
      <c r="L19" s="113">
        <v>-50.976909413854358</v>
      </c>
      <c r="M19" s="103">
        <v>3736</v>
      </c>
      <c r="N19" s="103">
        <v>4134</v>
      </c>
      <c r="O19" s="113">
        <v>10.653104925053537</v>
      </c>
      <c r="P19" s="113">
        <v>0.39497180069497462</v>
      </c>
      <c r="Q19" s="103"/>
      <c r="R19" s="103"/>
      <c r="S19" s="113" t="s">
        <v>126</v>
      </c>
      <c r="T19" s="103"/>
      <c r="U19" s="103"/>
      <c r="V19" s="113" t="s">
        <v>126</v>
      </c>
      <c r="W19" s="113" t="s">
        <v>126</v>
      </c>
      <c r="X19" s="96">
        <v>45.488705299999999</v>
      </c>
      <c r="Y19" s="96">
        <v>19.214853900000001</v>
      </c>
      <c r="Z19" s="113">
        <v>-57.759066182963004</v>
      </c>
      <c r="AA19" s="96">
        <v>304.70150269999993</v>
      </c>
      <c r="AB19" s="96">
        <v>363.22576700000008</v>
      </c>
      <c r="AC19" s="113">
        <v>19.207080956742573</v>
      </c>
      <c r="AD19" s="113">
        <v>1.1542179136521871</v>
      </c>
    </row>
    <row r="20" spans="1:30">
      <c r="A20" s="112"/>
      <c r="B20" s="94" t="s">
        <v>4</v>
      </c>
      <c r="C20" s="96">
        <v>45.026858841997381</v>
      </c>
      <c r="D20" s="96">
        <v>58.226438694996233</v>
      </c>
      <c r="E20" s="113">
        <v>29.314902688009315</v>
      </c>
      <c r="F20" s="96">
        <v>425.40017088499559</v>
      </c>
      <c r="G20" s="96">
        <v>589.62034493299291</v>
      </c>
      <c r="H20" s="113">
        <v>38.603692543507066</v>
      </c>
      <c r="I20" s="113">
        <v>0.66240484502985297</v>
      </c>
      <c r="J20" s="103">
        <v>4260</v>
      </c>
      <c r="K20" s="103">
        <v>4924</v>
      </c>
      <c r="L20" s="113">
        <v>15.586854460093891</v>
      </c>
      <c r="M20" s="103">
        <v>39494</v>
      </c>
      <c r="N20" s="103">
        <v>45934</v>
      </c>
      <c r="O20" s="113">
        <v>16.306274370790508</v>
      </c>
      <c r="P20" s="113">
        <v>0.23379579438348536</v>
      </c>
      <c r="Q20" s="103"/>
      <c r="R20" s="103"/>
      <c r="S20" s="113" t="s">
        <v>126</v>
      </c>
      <c r="T20" s="103"/>
      <c r="U20" s="103"/>
      <c r="V20" s="113" t="s">
        <v>126</v>
      </c>
      <c r="W20" s="113" t="s">
        <v>126</v>
      </c>
      <c r="X20" s="96">
        <v>494.73221980000608</v>
      </c>
      <c r="Y20" s="96">
        <v>682.88727870000298</v>
      </c>
      <c r="Z20" s="113">
        <v>38.031697021079005</v>
      </c>
      <c r="AA20" s="96">
        <v>4442.0991148000558</v>
      </c>
      <c r="AB20" s="96">
        <v>6526.7933672000127</v>
      </c>
      <c r="AC20" s="113">
        <v>46.930385804635335</v>
      </c>
      <c r="AD20" s="113">
        <v>0.24635611176264263</v>
      </c>
    </row>
    <row r="21" spans="1:30">
      <c r="A21" s="112"/>
      <c r="B21" s="94" t="s">
        <v>5</v>
      </c>
      <c r="C21" s="96">
        <v>30.411808885000511</v>
      </c>
      <c r="D21" s="96">
        <v>28.256518875999447</v>
      </c>
      <c r="E21" s="113">
        <v>-7.0870168136038743</v>
      </c>
      <c r="F21" s="96">
        <v>241.85564919799737</v>
      </c>
      <c r="G21" s="96">
        <v>266.38627718399852</v>
      </c>
      <c r="H21" s="113">
        <v>10.142673147121295</v>
      </c>
      <c r="I21" s="113">
        <v>0.16246492393292442</v>
      </c>
      <c r="J21" s="103">
        <v>4</v>
      </c>
      <c r="K21" s="103">
        <v>1</v>
      </c>
      <c r="L21" s="113">
        <v>-75</v>
      </c>
      <c r="M21" s="103">
        <v>27</v>
      </c>
      <c r="N21" s="103">
        <v>27</v>
      </c>
      <c r="O21" s="113">
        <v>0</v>
      </c>
      <c r="P21" s="113">
        <v>1.0014836795252227</v>
      </c>
      <c r="Q21" s="103">
        <v>222516</v>
      </c>
      <c r="R21" s="103">
        <v>136945</v>
      </c>
      <c r="S21" s="113">
        <v>-38.45611102122993</v>
      </c>
      <c r="T21" s="103">
        <v>1288073</v>
      </c>
      <c r="U21" s="103">
        <v>1712474</v>
      </c>
      <c r="V21" s="113">
        <v>32.948520774831856</v>
      </c>
      <c r="W21" s="113">
        <v>1.3478832633985782</v>
      </c>
      <c r="X21" s="96">
        <v>1491.9192558000002</v>
      </c>
      <c r="Y21" s="96">
        <v>1416.2161103000001</v>
      </c>
      <c r="Z21" s="113">
        <v>-5.0742119726450259</v>
      </c>
      <c r="AA21" s="96">
        <v>12368.188484624001</v>
      </c>
      <c r="AB21" s="96">
        <v>14319.085408679999</v>
      </c>
      <c r="AC21" s="113">
        <v>15.77350576829688</v>
      </c>
      <c r="AD21" s="113">
        <v>0.79056490456387796</v>
      </c>
    </row>
    <row r="22" spans="1:30">
      <c r="A22" s="112"/>
      <c r="B22" s="94" t="s">
        <v>6</v>
      </c>
      <c r="C22" s="96">
        <v>0</v>
      </c>
      <c r="D22" s="96">
        <v>0</v>
      </c>
      <c r="E22" s="113" t="s">
        <v>126</v>
      </c>
      <c r="F22" s="96">
        <v>0</v>
      </c>
      <c r="G22" s="96">
        <v>5.6693319999999991E-3</v>
      </c>
      <c r="H22" s="113" t="s">
        <v>126</v>
      </c>
      <c r="I22" s="113">
        <v>2.6372157375528592E-4</v>
      </c>
      <c r="J22" s="103">
        <v>0</v>
      </c>
      <c r="K22" s="103">
        <v>0</v>
      </c>
      <c r="L22" s="113" t="s">
        <v>126</v>
      </c>
      <c r="M22" s="103">
        <v>0</v>
      </c>
      <c r="N22" s="103">
        <v>1</v>
      </c>
      <c r="O22" s="113" t="s">
        <v>126</v>
      </c>
      <c r="P22" s="113">
        <v>2.5043826696719257E-2</v>
      </c>
      <c r="Q22" s="106">
        <v>0</v>
      </c>
      <c r="R22" s="106">
        <v>0</v>
      </c>
      <c r="S22" s="113" t="s">
        <v>126</v>
      </c>
      <c r="T22" s="106">
        <v>0</v>
      </c>
      <c r="U22" s="106">
        <v>66</v>
      </c>
      <c r="V22" s="113" t="s">
        <v>126</v>
      </c>
      <c r="W22" s="113">
        <v>8.1447072607103519E-4</v>
      </c>
      <c r="X22" s="96">
        <v>0</v>
      </c>
      <c r="Y22" s="96">
        <v>0</v>
      </c>
      <c r="Z22" s="113" t="s">
        <v>126</v>
      </c>
      <c r="AA22" s="96">
        <v>0</v>
      </c>
      <c r="AB22" s="96">
        <v>12.7</v>
      </c>
      <c r="AC22" s="113" t="s">
        <v>126</v>
      </c>
      <c r="AD22" s="113">
        <v>1.3885073989303571E-2</v>
      </c>
    </row>
    <row r="23" spans="1:30">
      <c r="A23" s="112"/>
      <c r="B23" s="94" t="s">
        <v>25</v>
      </c>
      <c r="C23" s="96">
        <v>0</v>
      </c>
      <c r="D23" s="96">
        <v>2.3954619999999997E-3</v>
      </c>
      <c r="E23" s="113" t="s">
        <v>126</v>
      </c>
      <c r="F23" s="96">
        <v>0</v>
      </c>
      <c r="G23" s="96">
        <v>9.0882465999999995E-2</v>
      </c>
      <c r="H23" s="113" t="s">
        <v>126</v>
      </c>
      <c r="I23" s="113">
        <v>8.1489783161237117E-4</v>
      </c>
      <c r="J23" s="103">
        <v>0</v>
      </c>
      <c r="K23" s="103">
        <v>0</v>
      </c>
      <c r="L23" s="113" t="s">
        <v>126</v>
      </c>
      <c r="M23" s="103">
        <v>0</v>
      </c>
      <c r="N23" s="103">
        <v>5</v>
      </c>
      <c r="O23" s="113" t="s">
        <v>126</v>
      </c>
      <c r="P23" s="113">
        <v>1.8178512997636793E-2</v>
      </c>
      <c r="Q23" s="106">
        <v>0</v>
      </c>
      <c r="R23" s="106">
        <v>25</v>
      </c>
      <c r="S23" s="113" t="s">
        <v>126</v>
      </c>
      <c r="T23" s="106">
        <v>0</v>
      </c>
      <c r="U23" s="106">
        <v>1125</v>
      </c>
      <c r="V23" s="113" t="s">
        <v>126</v>
      </c>
      <c r="W23" s="113">
        <v>1.4241201984790625E-3</v>
      </c>
      <c r="X23" s="96">
        <v>0</v>
      </c>
      <c r="Y23" s="96">
        <v>6.7</v>
      </c>
      <c r="Z23" s="113" t="s">
        <v>126</v>
      </c>
      <c r="AA23" s="96">
        <v>0</v>
      </c>
      <c r="AB23" s="96">
        <v>104.855</v>
      </c>
      <c r="AC23" s="113" t="s">
        <v>126</v>
      </c>
      <c r="AD23" s="113">
        <v>2.7547128102448065E-3</v>
      </c>
    </row>
    <row r="24" spans="1:30">
      <c r="A24" s="112"/>
      <c r="B24" s="94"/>
      <c r="C24" s="104"/>
      <c r="D24" s="104"/>
      <c r="E24" s="113"/>
      <c r="F24" s="104"/>
      <c r="G24" s="104"/>
      <c r="H24" s="113"/>
      <c r="I24" s="110"/>
      <c r="J24" s="103"/>
      <c r="K24" s="103"/>
      <c r="L24" s="113"/>
      <c r="M24" s="103"/>
      <c r="N24" s="103"/>
      <c r="O24" s="113"/>
      <c r="P24" s="113"/>
      <c r="Q24" s="103"/>
      <c r="R24" s="103"/>
      <c r="S24" s="113"/>
      <c r="T24" s="103"/>
      <c r="U24" s="103"/>
      <c r="V24" s="113"/>
      <c r="W24" s="113"/>
      <c r="X24" s="96"/>
      <c r="Y24" s="96"/>
      <c r="Z24" s="113"/>
      <c r="AA24" s="96"/>
      <c r="AB24" s="96"/>
      <c r="AC24" s="113"/>
      <c r="AD24" s="113"/>
    </row>
    <row r="25" spans="1:30" s="20" customFormat="1" ht="15">
      <c r="A25" s="109">
        <v>4</v>
      </c>
      <c r="B25" s="93" t="s">
        <v>30</v>
      </c>
      <c r="C25" s="101">
        <v>23.442019605574274</v>
      </c>
      <c r="D25" s="101">
        <v>55.785509084666415</v>
      </c>
      <c r="E25" s="110">
        <v>137.97228235147961</v>
      </c>
      <c r="F25" s="101">
        <v>276.92169856394133</v>
      </c>
      <c r="G25" s="101">
        <v>251.79631990328565</v>
      </c>
      <c r="H25" s="110">
        <v>-9.0730985657500707</v>
      </c>
      <c r="I25" s="110">
        <v>8.2310025565921249E-2</v>
      </c>
      <c r="J25" s="102">
        <v>1774</v>
      </c>
      <c r="K25" s="102">
        <v>1548</v>
      </c>
      <c r="L25" s="110">
        <v>-12.739571589627962</v>
      </c>
      <c r="M25" s="101">
        <v>21822</v>
      </c>
      <c r="N25" s="101">
        <v>12596</v>
      </c>
      <c r="O25" s="110">
        <v>-42.278434607277063</v>
      </c>
      <c r="P25" s="110">
        <v>6.0768304147967446E-2</v>
      </c>
      <c r="Q25" s="102">
        <v>41486</v>
      </c>
      <c r="R25" s="102">
        <v>130834</v>
      </c>
      <c r="S25" s="110">
        <v>215.36904015812564</v>
      </c>
      <c r="T25" s="102">
        <v>786880</v>
      </c>
      <c r="U25" s="102">
        <v>636694</v>
      </c>
      <c r="V25" s="110">
        <v>-19.086264741764946</v>
      </c>
      <c r="W25" s="110">
        <v>0.29731397477199678</v>
      </c>
      <c r="X25" s="101">
        <v>4881.9233147059995</v>
      </c>
      <c r="Y25" s="101">
        <v>35486.072147944004</v>
      </c>
      <c r="Z25" s="110">
        <v>626.88712747797547</v>
      </c>
      <c r="AA25" s="101">
        <v>47983.210517907493</v>
      </c>
      <c r="AB25" s="101">
        <v>83242.511762113791</v>
      </c>
      <c r="AC25" s="110">
        <v>73.482580393505373</v>
      </c>
      <c r="AD25" s="110">
        <v>0.9921751871249237</v>
      </c>
    </row>
    <row r="26" spans="1:30">
      <c r="A26" s="112"/>
      <c r="B26" s="94" t="s">
        <v>3</v>
      </c>
      <c r="C26" s="96">
        <v>0.70175330000000002</v>
      </c>
      <c r="D26" s="96">
        <v>4.1119247000000003</v>
      </c>
      <c r="E26" s="113">
        <v>485.95017650789816</v>
      </c>
      <c r="F26" s="96">
        <v>16.342044399999999</v>
      </c>
      <c r="G26" s="96">
        <v>22.489781300000001</v>
      </c>
      <c r="H26" s="113">
        <v>37.619142070131709</v>
      </c>
      <c r="I26" s="113">
        <v>5.6746182104549563E-2</v>
      </c>
      <c r="J26" s="103">
        <v>13</v>
      </c>
      <c r="K26" s="103">
        <v>42</v>
      </c>
      <c r="L26" s="113">
        <v>223.07692307692309</v>
      </c>
      <c r="M26" s="103">
        <v>262</v>
      </c>
      <c r="N26" s="103">
        <v>332</v>
      </c>
      <c r="O26" s="113">
        <v>26.717557251908385</v>
      </c>
      <c r="P26" s="113">
        <v>3.1720038178696557E-2</v>
      </c>
      <c r="Q26" s="103"/>
      <c r="R26" s="103"/>
      <c r="S26" s="113" t="s">
        <v>126</v>
      </c>
      <c r="T26" s="103"/>
      <c r="U26" s="103"/>
      <c r="V26" s="113" t="s">
        <v>126</v>
      </c>
      <c r="W26" s="113" t="s">
        <v>126</v>
      </c>
      <c r="X26" s="96">
        <v>0.71499999999999997</v>
      </c>
      <c r="Y26" s="96">
        <v>0.59312500000000001</v>
      </c>
      <c r="Z26" s="113">
        <v>-17.04545454545454</v>
      </c>
      <c r="AA26" s="96">
        <v>20.8340125</v>
      </c>
      <c r="AB26" s="96">
        <v>10.286975</v>
      </c>
      <c r="AC26" s="113">
        <v>-50.624129653373309</v>
      </c>
      <c r="AD26" s="113">
        <v>3.2688790006167728E-2</v>
      </c>
    </row>
    <row r="27" spans="1:30">
      <c r="A27" s="112"/>
      <c r="B27" s="94" t="s">
        <v>4</v>
      </c>
      <c r="C27" s="96">
        <v>14.515227899999998</v>
      </c>
      <c r="D27" s="96">
        <v>11.6044587</v>
      </c>
      <c r="E27" s="113">
        <v>-20.053210463199122</v>
      </c>
      <c r="F27" s="96">
        <v>156.45964170000002</v>
      </c>
      <c r="G27" s="96">
        <v>104.06352509999996</v>
      </c>
      <c r="H27" s="113">
        <v>-33.488582762106667</v>
      </c>
      <c r="I27" s="113">
        <v>0.1169094380977635</v>
      </c>
      <c r="J27" s="103">
        <v>1730</v>
      </c>
      <c r="K27" s="103">
        <v>1486</v>
      </c>
      <c r="L27" s="113">
        <v>-14.104046242774571</v>
      </c>
      <c r="M27" s="103">
        <v>21307</v>
      </c>
      <c r="N27" s="103">
        <v>12037</v>
      </c>
      <c r="O27" s="113">
        <v>-43.506828741728064</v>
      </c>
      <c r="P27" s="113">
        <v>6.1266163996038084E-2</v>
      </c>
      <c r="Q27" s="103"/>
      <c r="R27" s="103"/>
      <c r="S27" s="113" t="s">
        <v>126</v>
      </c>
      <c r="T27" s="103"/>
      <c r="U27" s="103"/>
      <c r="V27" s="113" t="s">
        <v>126</v>
      </c>
      <c r="W27" s="113" t="s">
        <v>126</v>
      </c>
      <c r="X27" s="96">
        <v>202.34349200000011</v>
      </c>
      <c r="Y27" s="96">
        <v>166.28085119999997</v>
      </c>
      <c r="Z27" s="113">
        <v>-17.822486131651871</v>
      </c>
      <c r="AA27" s="96">
        <v>2256.4173039000002</v>
      </c>
      <c r="AB27" s="96">
        <v>1465.9833742000001</v>
      </c>
      <c r="AC27" s="113">
        <v>-35.0304852003134</v>
      </c>
      <c r="AD27" s="113">
        <v>5.5334058190281851E-2</v>
      </c>
    </row>
    <row r="28" spans="1:30">
      <c r="A28" s="112"/>
      <c r="B28" s="94" t="s">
        <v>5</v>
      </c>
      <c r="C28" s="96">
        <v>1.4143938020183799</v>
      </c>
      <c r="D28" s="96">
        <v>0.65816033254999984</v>
      </c>
      <c r="E28" s="113">
        <v>-53.466967147990438</v>
      </c>
      <c r="F28" s="96">
        <v>19.737173813559089</v>
      </c>
      <c r="G28" s="96">
        <v>7.857483931334194</v>
      </c>
      <c r="H28" s="113">
        <v>-60.189417159936845</v>
      </c>
      <c r="I28" s="113">
        <v>4.7921595012442612E-3</v>
      </c>
      <c r="J28" s="103">
        <v>1</v>
      </c>
      <c r="K28" s="103">
        <v>0</v>
      </c>
      <c r="L28" s="113">
        <v>-100</v>
      </c>
      <c r="M28" s="103">
        <v>10</v>
      </c>
      <c r="N28" s="103">
        <v>0</v>
      </c>
      <c r="O28" s="113">
        <v>-100</v>
      </c>
      <c r="P28" s="113">
        <v>0</v>
      </c>
      <c r="Q28" s="103">
        <v>3472</v>
      </c>
      <c r="R28" s="103">
        <v>100</v>
      </c>
      <c r="S28" s="113">
        <v>-97.119815668202776</v>
      </c>
      <c r="T28" s="103">
        <v>249540</v>
      </c>
      <c r="U28" s="103">
        <v>26218</v>
      </c>
      <c r="V28" s="113">
        <v>-89.493467981085189</v>
      </c>
      <c r="W28" s="113">
        <v>2.0636110913090606E-2</v>
      </c>
      <c r="X28" s="96">
        <v>92.993120629999993</v>
      </c>
      <c r="Y28" s="96">
        <v>63.796819999999997</v>
      </c>
      <c r="Z28" s="113">
        <v>-31.396194075652019</v>
      </c>
      <c r="AA28" s="96">
        <v>1815.5118400239996</v>
      </c>
      <c r="AB28" s="96">
        <v>684.44171349999999</v>
      </c>
      <c r="AC28" s="113">
        <v>-62.300344265948041</v>
      </c>
      <c r="AD28" s="113">
        <v>3.7788418915684456E-2</v>
      </c>
    </row>
    <row r="29" spans="1:30">
      <c r="A29" s="112"/>
      <c r="B29" s="94" t="s">
        <v>6</v>
      </c>
      <c r="C29" s="96">
        <v>0.14014019999999999</v>
      </c>
      <c r="D29" s="96">
        <v>8.9450800000000011E-2</v>
      </c>
      <c r="E29" s="113">
        <v>-36.170492121461209</v>
      </c>
      <c r="F29" s="96">
        <v>1.0433376000000001</v>
      </c>
      <c r="G29" s="96">
        <v>0.81862160000000006</v>
      </c>
      <c r="H29" s="113">
        <v>-21.538186680897919</v>
      </c>
      <c r="I29" s="113">
        <v>3.8080002487430653E-2</v>
      </c>
      <c r="J29" s="103">
        <v>0</v>
      </c>
      <c r="K29" s="103">
        <v>0</v>
      </c>
      <c r="L29" s="113" t="s">
        <v>126</v>
      </c>
      <c r="M29" s="103">
        <v>0</v>
      </c>
      <c r="N29" s="103">
        <v>0</v>
      </c>
      <c r="O29" s="113" t="s">
        <v>126</v>
      </c>
      <c r="P29" s="113">
        <v>0</v>
      </c>
      <c r="Q29" s="106">
        <v>0</v>
      </c>
      <c r="R29" s="106">
        <v>0</v>
      </c>
      <c r="S29" s="113" t="s">
        <v>126</v>
      </c>
      <c r="T29" s="106">
        <v>0</v>
      </c>
      <c r="U29" s="106">
        <v>0</v>
      </c>
      <c r="V29" s="113" t="s">
        <v>126</v>
      </c>
      <c r="W29" s="113">
        <v>0</v>
      </c>
      <c r="X29" s="96">
        <v>0</v>
      </c>
      <c r="Y29" s="96">
        <v>0</v>
      </c>
      <c r="Z29" s="113" t="s">
        <v>126</v>
      </c>
      <c r="AA29" s="96">
        <v>0</v>
      </c>
      <c r="AB29" s="96">
        <v>0</v>
      </c>
      <c r="AC29" s="113" t="s">
        <v>126</v>
      </c>
      <c r="AD29" s="113">
        <v>0</v>
      </c>
    </row>
    <row r="30" spans="1:30">
      <c r="A30" s="112"/>
      <c r="B30" s="94" t="s">
        <v>25</v>
      </c>
      <c r="C30" s="96">
        <v>6.6705044035558956</v>
      </c>
      <c r="D30" s="96">
        <v>39.321514552116412</v>
      </c>
      <c r="E30" s="113">
        <v>489.48337596711571</v>
      </c>
      <c r="F30" s="96">
        <v>83.339501050382239</v>
      </c>
      <c r="G30" s="96">
        <v>116.56690797195148</v>
      </c>
      <c r="H30" s="113">
        <v>39.86993742796934</v>
      </c>
      <c r="I30" s="113">
        <v>1.0451974371393276</v>
      </c>
      <c r="J30" s="103">
        <v>30</v>
      </c>
      <c r="K30" s="103">
        <v>20</v>
      </c>
      <c r="L30" s="113">
        <v>-33.333333333333336</v>
      </c>
      <c r="M30" s="103">
        <v>243</v>
      </c>
      <c r="N30" s="103">
        <v>227</v>
      </c>
      <c r="O30" s="113">
        <v>-6.5843621399176993</v>
      </c>
      <c r="P30" s="113">
        <v>0.82530449009271045</v>
      </c>
      <c r="Q30" s="106">
        <v>38014</v>
      </c>
      <c r="R30" s="106">
        <v>130734</v>
      </c>
      <c r="S30" s="113">
        <v>243.91013837007418</v>
      </c>
      <c r="T30" s="106">
        <v>537340</v>
      </c>
      <c r="U30" s="106">
        <v>610476</v>
      </c>
      <c r="V30" s="113">
        <v>13.610749246287268</v>
      </c>
      <c r="W30" s="113">
        <v>0.7727921798104036</v>
      </c>
      <c r="X30" s="96">
        <v>4585.8717020759996</v>
      </c>
      <c r="Y30" s="96">
        <v>35255.401351744003</v>
      </c>
      <c r="Z30" s="113">
        <v>668.78298483108608</v>
      </c>
      <c r="AA30" s="96">
        <v>43890.447361483493</v>
      </c>
      <c r="AB30" s="96">
        <v>81081.799699413794</v>
      </c>
      <c r="AC30" s="113">
        <v>84.736781176142557</v>
      </c>
      <c r="AD30" s="113">
        <v>2.130151850743204</v>
      </c>
    </row>
    <row r="31" spans="1:30">
      <c r="A31" s="112"/>
      <c r="B31" s="94"/>
      <c r="C31" s="104"/>
      <c r="D31" s="104"/>
      <c r="E31" s="113"/>
      <c r="F31" s="104"/>
      <c r="G31" s="104"/>
      <c r="H31" s="113"/>
      <c r="I31" s="110"/>
      <c r="J31" s="103"/>
      <c r="K31" s="103"/>
      <c r="L31" s="113"/>
      <c r="M31" s="103"/>
      <c r="N31" s="103"/>
      <c r="O31" s="113"/>
      <c r="P31" s="113"/>
      <c r="Q31" s="103"/>
      <c r="R31" s="103"/>
      <c r="S31" s="113"/>
      <c r="T31" s="103"/>
      <c r="U31" s="103"/>
      <c r="V31" s="113"/>
      <c r="W31" s="113"/>
      <c r="X31" s="96"/>
      <c r="Y31" s="96"/>
      <c r="Z31" s="113"/>
      <c r="AA31" s="96"/>
      <c r="AB31" s="96"/>
      <c r="AC31" s="113"/>
      <c r="AD31" s="113"/>
    </row>
    <row r="32" spans="1:30" s="20" customFormat="1" ht="15">
      <c r="A32" s="109">
        <v>5</v>
      </c>
      <c r="B32" s="93" t="s">
        <v>31</v>
      </c>
      <c r="C32" s="101">
        <v>950.84836663914666</v>
      </c>
      <c r="D32" s="101">
        <v>885.53663257158917</v>
      </c>
      <c r="E32" s="110">
        <v>-6.868785429837498</v>
      </c>
      <c r="F32" s="101">
        <v>8489.510355909666</v>
      </c>
      <c r="G32" s="101">
        <v>9389.4442361826004</v>
      </c>
      <c r="H32" s="110">
        <v>10.600539283711207</v>
      </c>
      <c r="I32" s="110">
        <v>3.0693276034646964</v>
      </c>
      <c r="J32" s="102">
        <v>65484</v>
      </c>
      <c r="K32" s="102">
        <v>59902</v>
      </c>
      <c r="L32" s="110">
        <v>-8.5242196567100414</v>
      </c>
      <c r="M32" s="101">
        <v>558142</v>
      </c>
      <c r="N32" s="101">
        <v>616820</v>
      </c>
      <c r="O32" s="110">
        <v>10.513095233829395</v>
      </c>
      <c r="P32" s="110">
        <v>2.9757943287193775</v>
      </c>
      <c r="Q32" s="102">
        <v>2029465</v>
      </c>
      <c r="R32" s="102">
        <v>1377287</v>
      </c>
      <c r="S32" s="110">
        <v>-32.135464272603862</v>
      </c>
      <c r="T32" s="102">
        <v>15914371</v>
      </c>
      <c r="U32" s="102">
        <v>13412460</v>
      </c>
      <c r="V32" s="110">
        <v>-15.721080022578338</v>
      </c>
      <c r="W32" s="110">
        <v>6.2631527767976705</v>
      </c>
      <c r="X32" s="101">
        <v>50735.232788180481</v>
      </c>
      <c r="Y32" s="101">
        <v>46780.636342729951</v>
      </c>
      <c r="Z32" s="110">
        <v>-7.7945763291576213</v>
      </c>
      <c r="AA32" s="101">
        <v>457118.91320012975</v>
      </c>
      <c r="AB32" s="101">
        <v>538030.05276184855</v>
      </c>
      <c r="AC32" s="110">
        <v>17.700238871169915</v>
      </c>
      <c r="AD32" s="110">
        <v>6.4128298987822889</v>
      </c>
    </row>
    <row r="33" spans="1:30">
      <c r="A33" s="112"/>
      <c r="B33" s="94" t="s">
        <v>3</v>
      </c>
      <c r="C33" s="96">
        <v>38.105855402899998</v>
      </c>
      <c r="D33" s="96">
        <v>41.913756763279991</v>
      </c>
      <c r="E33" s="113">
        <v>9.9929559909320389</v>
      </c>
      <c r="F33" s="96">
        <v>472.91408680590001</v>
      </c>
      <c r="G33" s="96">
        <v>534.44019752274505</v>
      </c>
      <c r="H33" s="113">
        <v>13.00999746748872</v>
      </c>
      <c r="I33" s="113">
        <v>1.3484986967221921</v>
      </c>
      <c r="J33" s="103">
        <v>556</v>
      </c>
      <c r="K33" s="103">
        <v>484</v>
      </c>
      <c r="L33" s="113">
        <v>-12.949640287769782</v>
      </c>
      <c r="M33" s="103">
        <v>5517</v>
      </c>
      <c r="N33" s="103">
        <v>6039</v>
      </c>
      <c r="O33" s="113">
        <v>9.461663947797728</v>
      </c>
      <c r="P33" s="113">
        <v>0.5769798510877967</v>
      </c>
      <c r="Q33" s="103"/>
      <c r="R33" s="103"/>
      <c r="S33" s="113" t="s">
        <v>126</v>
      </c>
      <c r="T33" s="103"/>
      <c r="U33" s="103"/>
      <c r="V33" s="113" t="s">
        <v>126</v>
      </c>
      <c r="W33" s="113" t="s">
        <v>126</v>
      </c>
      <c r="X33" s="96">
        <v>8.9270686999999995</v>
      </c>
      <c r="Y33" s="96">
        <v>8.9891041999999999</v>
      </c>
      <c r="Z33" s="113">
        <v>0.69491455801162783</v>
      </c>
      <c r="AA33" s="96">
        <v>126.8144987</v>
      </c>
      <c r="AB33" s="96">
        <v>139.8349355</v>
      </c>
      <c r="AC33" s="113">
        <v>10.267309285196102</v>
      </c>
      <c r="AD33" s="113">
        <v>0.44435170126159612</v>
      </c>
    </row>
    <row r="34" spans="1:30">
      <c r="A34" s="112"/>
      <c r="B34" s="94" t="s">
        <v>4</v>
      </c>
      <c r="C34" s="96">
        <v>539.33992993124662</v>
      </c>
      <c r="D34" s="96">
        <v>582.78540812730921</v>
      </c>
      <c r="E34" s="113">
        <v>8.0553053436263955</v>
      </c>
      <c r="F34" s="96">
        <v>4489.7506595727655</v>
      </c>
      <c r="G34" s="96">
        <v>5271.5039774258539</v>
      </c>
      <c r="H34" s="113">
        <v>17.411953961993042</v>
      </c>
      <c r="I34" s="113">
        <v>5.9222342058733712</v>
      </c>
      <c r="J34" s="103">
        <v>64902</v>
      </c>
      <c r="K34" s="103">
        <v>59385</v>
      </c>
      <c r="L34" s="113">
        <v>-8.5005084589072748</v>
      </c>
      <c r="M34" s="103">
        <v>552180</v>
      </c>
      <c r="N34" s="103">
        <v>610367</v>
      </c>
      <c r="O34" s="113">
        <v>10.537686986127714</v>
      </c>
      <c r="P34" s="113">
        <v>3.1066581972060958</v>
      </c>
      <c r="Q34" s="103"/>
      <c r="R34" s="103"/>
      <c r="S34" s="113" t="s">
        <v>126</v>
      </c>
      <c r="T34" s="103"/>
      <c r="U34" s="103"/>
      <c r="V34" s="113" t="s">
        <v>126</v>
      </c>
      <c r="W34" s="113" t="s">
        <v>126</v>
      </c>
      <c r="X34" s="96">
        <v>15856.139447379999</v>
      </c>
      <c r="Y34" s="96">
        <v>26340.034024303997</v>
      </c>
      <c r="Z34" s="113">
        <v>66.118834358866025</v>
      </c>
      <c r="AA34" s="96">
        <v>125131.23332484301</v>
      </c>
      <c r="AB34" s="96">
        <v>232026.56471256603</v>
      </c>
      <c r="AC34" s="113">
        <v>85.426578598662701</v>
      </c>
      <c r="AD34" s="113">
        <v>8.7579243117287522</v>
      </c>
    </row>
    <row r="35" spans="1:30">
      <c r="A35" s="112"/>
      <c r="B35" s="94" t="s">
        <v>5</v>
      </c>
      <c r="C35" s="96">
        <v>334.25694337599998</v>
      </c>
      <c r="D35" s="96">
        <v>227.36294670600003</v>
      </c>
      <c r="E35" s="113">
        <v>-31.979588992338957</v>
      </c>
      <c r="F35" s="96">
        <v>2962.6187862700003</v>
      </c>
      <c r="G35" s="96">
        <v>3066.0790904560004</v>
      </c>
      <c r="H35" s="113">
        <v>3.4921909178959432</v>
      </c>
      <c r="I35" s="113">
        <v>1.8699548320170987</v>
      </c>
      <c r="J35" s="103">
        <v>7</v>
      </c>
      <c r="K35" s="103">
        <v>19</v>
      </c>
      <c r="L35" s="113">
        <v>171.42857142857144</v>
      </c>
      <c r="M35" s="103">
        <v>95</v>
      </c>
      <c r="N35" s="103">
        <v>109</v>
      </c>
      <c r="O35" s="113">
        <v>14.736842105263159</v>
      </c>
      <c r="P35" s="113">
        <v>4.043026706231454</v>
      </c>
      <c r="Q35" s="103">
        <v>1703935</v>
      </c>
      <c r="R35" s="103">
        <v>1210635</v>
      </c>
      <c r="S35" s="113">
        <v>-28.950634854029055</v>
      </c>
      <c r="T35" s="103">
        <v>12879931</v>
      </c>
      <c r="U35" s="103">
        <v>11739073</v>
      </c>
      <c r="V35" s="113">
        <v>-8.8576406193480395</v>
      </c>
      <c r="W35" s="113">
        <v>9.239789932293359</v>
      </c>
      <c r="X35" s="96">
        <v>12790.1561485</v>
      </c>
      <c r="Y35" s="96">
        <v>11403.619204218701</v>
      </c>
      <c r="Z35" s="113">
        <v>-10.840656894121725</v>
      </c>
      <c r="AA35" s="96">
        <v>97105.43977204003</v>
      </c>
      <c r="AB35" s="96">
        <v>106404.21169978379</v>
      </c>
      <c r="AC35" s="113">
        <v>9.5759536742463744</v>
      </c>
      <c r="AD35" s="113">
        <v>5.874637455311384</v>
      </c>
    </row>
    <row r="36" spans="1:30">
      <c r="A36" s="112"/>
      <c r="B36" s="94" t="s">
        <v>6</v>
      </c>
      <c r="C36" s="96">
        <v>0</v>
      </c>
      <c r="D36" s="96">
        <v>0</v>
      </c>
      <c r="E36" s="113" t="s">
        <v>126</v>
      </c>
      <c r="F36" s="96">
        <v>0</v>
      </c>
      <c r="G36" s="96">
        <v>0</v>
      </c>
      <c r="H36" s="113" t="s">
        <v>126</v>
      </c>
      <c r="I36" s="113">
        <v>0</v>
      </c>
      <c r="J36" s="103">
        <v>0</v>
      </c>
      <c r="K36" s="103">
        <v>0</v>
      </c>
      <c r="L36" s="113" t="s">
        <v>126</v>
      </c>
      <c r="M36" s="103">
        <v>0</v>
      </c>
      <c r="N36" s="103">
        <v>0</v>
      </c>
      <c r="O36" s="113" t="s">
        <v>126</v>
      </c>
      <c r="P36" s="113">
        <v>0</v>
      </c>
      <c r="Q36" s="106">
        <v>0</v>
      </c>
      <c r="R36" s="106">
        <v>0</v>
      </c>
      <c r="S36" s="113" t="s">
        <v>126</v>
      </c>
      <c r="T36" s="106">
        <v>0</v>
      </c>
      <c r="U36" s="106">
        <v>0</v>
      </c>
      <c r="V36" s="113" t="s">
        <v>126</v>
      </c>
      <c r="W36" s="113">
        <v>0</v>
      </c>
      <c r="X36" s="96">
        <v>0</v>
      </c>
      <c r="Y36" s="96">
        <v>0</v>
      </c>
      <c r="Z36" s="113" t="s">
        <v>126</v>
      </c>
      <c r="AA36" s="96">
        <v>0</v>
      </c>
      <c r="AB36" s="96">
        <v>0</v>
      </c>
      <c r="AC36" s="113" t="s">
        <v>126</v>
      </c>
      <c r="AD36" s="113">
        <v>0</v>
      </c>
    </row>
    <row r="37" spans="1:30">
      <c r="A37" s="112"/>
      <c r="B37" s="94" t="s">
        <v>25</v>
      </c>
      <c r="C37" s="96">
        <v>39.145637928999989</v>
      </c>
      <c r="D37" s="96">
        <v>33.474520975000019</v>
      </c>
      <c r="E37" s="113">
        <v>-14.487225790740466</v>
      </c>
      <c r="F37" s="96">
        <v>564.22682326100005</v>
      </c>
      <c r="G37" s="96">
        <v>517.42097077800008</v>
      </c>
      <c r="H37" s="113">
        <v>-8.2955737929085505</v>
      </c>
      <c r="I37" s="113">
        <v>4.639456274412276</v>
      </c>
      <c r="J37" s="103">
        <v>19</v>
      </c>
      <c r="K37" s="103">
        <v>14</v>
      </c>
      <c r="L37" s="113">
        <v>-26.315789473684216</v>
      </c>
      <c r="M37" s="103">
        <v>350</v>
      </c>
      <c r="N37" s="103">
        <v>305</v>
      </c>
      <c r="O37" s="113">
        <v>-12.857142857142856</v>
      </c>
      <c r="P37" s="113">
        <v>1.1088892928558443</v>
      </c>
      <c r="Q37" s="106">
        <v>325530</v>
      </c>
      <c r="R37" s="106">
        <v>166652</v>
      </c>
      <c r="S37" s="113">
        <v>-48.805947224526157</v>
      </c>
      <c r="T37" s="106">
        <v>3034440</v>
      </c>
      <c r="U37" s="106">
        <v>1673387</v>
      </c>
      <c r="V37" s="113">
        <v>-44.853514981347466</v>
      </c>
      <c r="W37" s="113">
        <v>2.1183148680642514</v>
      </c>
      <c r="X37" s="96">
        <v>22080.010123600481</v>
      </c>
      <c r="Y37" s="96">
        <v>9027.9940100072472</v>
      </c>
      <c r="Z37" s="113">
        <v>-59.112364716003604</v>
      </c>
      <c r="AA37" s="96">
        <v>234755.42560454673</v>
      </c>
      <c r="AB37" s="96">
        <v>199459.44141399869</v>
      </c>
      <c r="AC37" s="113">
        <v>-15.035215522560607</v>
      </c>
      <c r="AD37" s="113">
        <v>5.240126635710415</v>
      </c>
    </row>
    <row r="38" spans="1:30">
      <c r="A38" s="112"/>
      <c r="B38" s="94"/>
      <c r="C38" s="104"/>
      <c r="D38" s="104"/>
      <c r="E38" s="113"/>
      <c r="F38" s="104"/>
      <c r="G38" s="104"/>
      <c r="H38" s="113"/>
      <c r="I38" s="110"/>
      <c r="J38" s="103"/>
      <c r="K38" s="103"/>
      <c r="L38" s="113"/>
      <c r="M38" s="103"/>
      <c r="N38" s="103"/>
      <c r="O38" s="113"/>
      <c r="P38" s="113"/>
      <c r="Q38" s="103"/>
      <c r="R38" s="103"/>
      <c r="S38" s="113"/>
      <c r="T38" s="103"/>
      <c r="U38" s="103"/>
      <c r="V38" s="113"/>
      <c r="W38" s="113"/>
      <c r="X38" s="96"/>
      <c r="Y38" s="96"/>
      <c r="Z38" s="113"/>
      <c r="AA38" s="96"/>
      <c r="AB38" s="96"/>
      <c r="AC38" s="113"/>
      <c r="AD38" s="113"/>
    </row>
    <row r="39" spans="1:30" s="20" customFormat="1" ht="15">
      <c r="A39" s="109">
        <v>6</v>
      </c>
      <c r="B39" s="93" t="s">
        <v>112</v>
      </c>
      <c r="C39" s="101">
        <v>16.746456533000003</v>
      </c>
      <c r="D39" s="101">
        <v>25.638645101000012</v>
      </c>
      <c r="E39" s="110">
        <v>53.098926035351781</v>
      </c>
      <c r="F39" s="101">
        <v>84.896510665999998</v>
      </c>
      <c r="G39" s="101">
        <v>142.531193892</v>
      </c>
      <c r="H39" s="110">
        <v>67.888164983301237</v>
      </c>
      <c r="I39" s="110">
        <v>4.6592206818979458E-2</v>
      </c>
      <c r="J39" s="102">
        <v>2252</v>
      </c>
      <c r="K39" s="102">
        <v>4688</v>
      </c>
      <c r="L39" s="110">
        <v>108.17051509769095</v>
      </c>
      <c r="M39" s="101">
        <v>17870</v>
      </c>
      <c r="N39" s="101">
        <v>25404</v>
      </c>
      <c r="O39" s="110">
        <v>42.160044767767204</v>
      </c>
      <c r="P39" s="110">
        <v>0.12255938381827286</v>
      </c>
      <c r="Q39" s="102">
        <v>24933</v>
      </c>
      <c r="R39" s="102">
        <v>13546</v>
      </c>
      <c r="S39" s="110">
        <v>-45.670396663056991</v>
      </c>
      <c r="T39" s="102">
        <v>331640</v>
      </c>
      <c r="U39" s="102">
        <v>154826</v>
      </c>
      <c r="V39" s="110">
        <v>-53.315040405258721</v>
      </c>
      <c r="W39" s="110">
        <v>7.2298362255729068E-2</v>
      </c>
      <c r="X39" s="101">
        <v>1306.9290128000002</v>
      </c>
      <c r="Y39" s="101">
        <v>1507.3319765000001</v>
      </c>
      <c r="Z39" s="110">
        <v>15.333882845760005</v>
      </c>
      <c r="AA39" s="101">
        <v>11582.042711799993</v>
      </c>
      <c r="AB39" s="101">
        <v>12696.715266599993</v>
      </c>
      <c r="AC39" s="110">
        <v>9.6241447431751439</v>
      </c>
      <c r="AD39" s="110">
        <v>0.15133332210722852</v>
      </c>
    </row>
    <row r="40" spans="1:30">
      <c r="A40" s="112"/>
      <c r="B40" s="94" t="s">
        <v>3</v>
      </c>
      <c r="C40" s="96">
        <v>2.7539699999999997E-2</v>
      </c>
      <c r="D40" s="96">
        <v>5.0029999999999991E-2</v>
      </c>
      <c r="E40" s="113">
        <v>-54.635297408650871</v>
      </c>
      <c r="F40" s="96">
        <v>0.30249549999999997</v>
      </c>
      <c r="G40" s="96">
        <v>0.33652650000000001</v>
      </c>
      <c r="H40" s="113">
        <v>6.1057277523360654</v>
      </c>
      <c r="I40" s="113">
        <v>0.52561713647953079</v>
      </c>
      <c r="J40" s="103">
        <v>7</v>
      </c>
      <c r="K40" s="103">
        <v>10</v>
      </c>
      <c r="L40" s="113">
        <v>-50.976909413854358</v>
      </c>
      <c r="M40" s="103">
        <v>207</v>
      </c>
      <c r="N40" s="103">
        <v>60</v>
      </c>
      <c r="O40" s="113">
        <v>10.653104925053537</v>
      </c>
      <c r="P40" s="113">
        <v>0.39497180069497462</v>
      </c>
      <c r="Q40" s="103"/>
      <c r="R40" s="103"/>
      <c r="S40" s="113" t="s">
        <v>126</v>
      </c>
      <c r="T40" s="103"/>
      <c r="U40" s="103"/>
      <c r="V40" s="113" t="s">
        <v>126</v>
      </c>
      <c r="W40" s="113" t="s">
        <v>126</v>
      </c>
      <c r="X40" s="96">
        <v>0.65</v>
      </c>
      <c r="Y40" s="96">
        <v>0.6</v>
      </c>
      <c r="Z40" s="113">
        <v>-57.759066182963004</v>
      </c>
      <c r="AA40" s="96">
        <v>1.05359</v>
      </c>
      <c r="AB40" s="96">
        <v>3.65</v>
      </c>
      <c r="AC40" s="113">
        <v>19.207080956742573</v>
      </c>
      <c r="AD40" s="113">
        <v>1.1542179136521871</v>
      </c>
    </row>
    <row r="41" spans="1:30">
      <c r="A41" s="112"/>
      <c r="B41" s="94" t="s">
        <v>4</v>
      </c>
      <c r="C41" s="96">
        <v>1.5809010549999996</v>
      </c>
      <c r="D41" s="96">
        <v>22.313227012999995</v>
      </c>
      <c r="E41" s="113">
        <v>29.314902688009315</v>
      </c>
      <c r="F41" s="96">
        <v>8.4896124110000013</v>
      </c>
      <c r="G41" s="96">
        <v>82.577670902999998</v>
      </c>
      <c r="H41" s="113">
        <v>38.603692543507066</v>
      </c>
      <c r="I41" s="113">
        <v>0.66240484502985297</v>
      </c>
      <c r="J41" s="103">
        <v>2243</v>
      </c>
      <c r="K41" s="103">
        <v>4676</v>
      </c>
      <c r="L41" s="113">
        <v>15.586854460093891</v>
      </c>
      <c r="M41" s="103">
        <v>17608</v>
      </c>
      <c r="N41" s="103">
        <v>25327</v>
      </c>
      <c r="O41" s="113">
        <v>16.306274370790508</v>
      </c>
      <c r="P41" s="113">
        <v>0.23379579438348536</v>
      </c>
      <c r="Q41" s="103"/>
      <c r="R41" s="103"/>
      <c r="S41" s="113" t="s">
        <v>126</v>
      </c>
      <c r="T41" s="103"/>
      <c r="U41" s="103"/>
      <c r="V41" s="113" t="s">
        <v>126</v>
      </c>
      <c r="W41" s="113" t="s">
        <v>126</v>
      </c>
      <c r="X41" s="96">
        <v>752.80383960000006</v>
      </c>
      <c r="Y41" s="96">
        <v>1111.1980075000001</v>
      </c>
      <c r="Z41" s="113">
        <v>38.031697021079005</v>
      </c>
      <c r="AA41" s="96">
        <v>7153.5071685999937</v>
      </c>
      <c r="AB41" s="96">
        <v>7813.9645478999937</v>
      </c>
      <c r="AC41" s="113">
        <v>46.930385804635335</v>
      </c>
      <c r="AD41" s="113">
        <v>0.24635611176264263</v>
      </c>
    </row>
    <row r="42" spans="1:30">
      <c r="A42" s="112"/>
      <c r="B42" s="94" t="s">
        <v>5</v>
      </c>
      <c r="C42" s="96">
        <v>15.130276747000005</v>
      </c>
      <c r="D42" s="96">
        <v>3.0881071530000153</v>
      </c>
      <c r="E42" s="113">
        <v>-7.0870168136038743</v>
      </c>
      <c r="F42" s="96">
        <v>75.187831599999996</v>
      </c>
      <c r="G42" s="96">
        <v>57.003669470000013</v>
      </c>
      <c r="H42" s="113">
        <v>10.142673147121295</v>
      </c>
      <c r="I42" s="113">
        <v>0.16246492393292442</v>
      </c>
      <c r="J42" s="103">
        <v>1</v>
      </c>
      <c r="K42" s="103">
        <v>1</v>
      </c>
      <c r="L42" s="113">
        <v>-75</v>
      </c>
      <c r="M42" s="103">
        <v>43</v>
      </c>
      <c r="N42" s="103">
        <v>8</v>
      </c>
      <c r="O42" s="113">
        <v>0</v>
      </c>
      <c r="P42" s="113">
        <v>1.0014836795252227</v>
      </c>
      <c r="Q42" s="103">
        <v>24685</v>
      </c>
      <c r="R42" s="103">
        <v>6421</v>
      </c>
      <c r="S42" s="113">
        <v>-38.45611102122993</v>
      </c>
      <c r="T42" s="103">
        <v>301853</v>
      </c>
      <c r="U42" s="103">
        <v>73320</v>
      </c>
      <c r="V42" s="113">
        <v>32.948520774831856</v>
      </c>
      <c r="W42" s="113">
        <v>1.3478832633985782</v>
      </c>
      <c r="X42" s="96">
        <v>555.80517320000001</v>
      </c>
      <c r="Y42" s="96">
        <v>175.275769</v>
      </c>
      <c r="Z42" s="113">
        <v>-5.0742119726450259</v>
      </c>
      <c r="AA42" s="96">
        <v>3648.7251532</v>
      </c>
      <c r="AB42" s="96">
        <v>2414.6663186999999</v>
      </c>
      <c r="AC42" s="113">
        <v>15.77350576829688</v>
      </c>
      <c r="AD42" s="113">
        <v>0.79056490456387796</v>
      </c>
    </row>
    <row r="43" spans="1:30">
      <c r="A43" s="112"/>
      <c r="B43" s="94" t="s">
        <v>6</v>
      </c>
      <c r="C43" s="96">
        <v>0</v>
      </c>
      <c r="D43" s="96">
        <v>0</v>
      </c>
      <c r="E43" s="113" t="s">
        <v>126</v>
      </c>
      <c r="F43" s="96">
        <v>0</v>
      </c>
      <c r="G43" s="96">
        <v>0</v>
      </c>
      <c r="H43" s="113" t="s">
        <v>126</v>
      </c>
      <c r="I43" s="113">
        <v>2.6372157375528592E-4</v>
      </c>
      <c r="J43" s="103">
        <v>0</v>
      </c>
      <c r="K43" s="103">
        <v>0</v>
      </c>
      <c r="L43" s="113" t="s">
        <v>126</v>
      </c>
      <c r="M43" s="103">
        <v>0</v>
      </c>
      <c r="N43" s="103">
        <v>0</v>
      </c>
      <c r="O43" s="113" t="s">
        <v>126</v>
      </c>
      <c r="P43" s="113">
        <v>2.5043826696719257E-2</v>
      </c>
      <c r="Q43" s="106">
        <v>0</v>
      </c>
      <c r="R43" s="106">
        <v>0</v>
      </c>
      <c r="S43" s="113" t="s">
        <v>126</v>
      </c>
      <c r="T43" s="106">
        <v>0</v>
      </c>
      <c r="U43" s="106">
        <v>0</v>
      </c>
      <c r="V43" s="113" t="s">
        <v>126</v>
      </c>
      <c r="W43" s="113">
        <v>8.1447072607103519E-4</v>
      </c>
      <c r="X43" s="96">
        <v>0</v>
      </c>
      <c r="Y43" s="96">
        <v>0</v>
      </c>
      <c r="Z43" s="113" t="s">
        <v>126</v>
      </c>
      <c r="AA43" s="96">
        <v>0</v>
      </c>
      <c r="AB43" s="96">
        <v>0</v>
      </c>
      <c r="AC43" s="113" t="s">
        <v>126</v>
      </c>
      <c r="AD43" s="113">
        <v>1.3885073989303571E-2</v>
      </c>
    </row>
    <row r="44" spans="1:30">
      <c r="A44" s="112"/>
      <c r="B44" s="114" t="s">
        <v>25</v>
      </c>
      <c r="C44" s="96">
        <v>7.7390310000000516E-3</v>
      </c>
      <c r="D44" s="96">
        <v>0.18728093500000015</v>
      </c>
      <c r="E44" s="113" t="s">
        <v>126</v>
      </c>
      <c r="F44" s="96">
        <v>0.91657115500000008</v>
      </c>
      <c r="G44" s="96">
        <v>2.6133270190000002</v>
      </c>
      <c r="H44" s="113" t="s">
        <v>126</v>
      </c>
      <c r="I44" s="113">
        <v>8.1489783161237117E-4</v>
      </c>
      <c r="J44" s="103">
        <v>1</v>
      </c>
      <c r="K44" s="103">
        <v>1</v>
      </c>
      <c r="L44" s="113" t="s">
        <v>126</v>
      </c>
      <c r="M44" s="103">
        <v>12</v>
      </c>
      <c r="N44" s="103">
        <v>9</v>
      </c>
      <c r="O44" s="113" t="s">
        <v>126</v>
      </c>
      <c r="P44" s="113">
        <v>1.8178512997636793E-2</v>
      </c>
      <c r="Q44" s="106">
        <v>248</v>
      </c>
      <c r="R44" s="106">
        <v>7125</v>
      </c>
      <c r="S44" s="113" t="s">
        <v>126</v>
      </c>
      <c r="T44" s="106">
        <v>29787</v>
      </c>
      <c r="U44" s="106">
        <v>81506</v>
      </c>
      <c r="V44" s="113" t="s">
        <v>126</v>
      </c>
      <c r="W44" s="113">
        <v>1.4241201984790625E-3</v>
      </c>
      <c r="X44" s="96">
        <v>-2.33</v>
      </c>
      <c r="Y44" s="96">
        <v>220.25819999999999</v>
      </c>
      <c r="Z44" s="113" t="s">
        <v>126</v>
      </c>
      <c r="AA44" s="96">
        <v>778.75679999999988</v>
      </c>
      <c r="AB44" s="96">
        <v>2464.4344000000001</v>
      </c>
      <c r="AC44" s="113" t="s">
        <v>126</v>
      </c>
      <c r="AD44" s="113">
        <v>2.7547128102448065E-3</v>
      </c>
    </row>
    <row r="45" spans="1:30">
      <c r="A45" s="112"/>
      <c r="B45" s="114"/>
      <c r="C45" s="96"/>
      <c r="D45" s="96"/>
      <c r="E45" s="113"/>
      <c r="F45" s="96"/>
      <c r="G45" s="96"/>
      <c r="H45" s="113"/>
      <c r="I45" s="113"/>
      <c r="J45" s="103"/>
      <c r="K45" s="103"/>
      <c r="L45" s="113"/>
      <c r="M45" s="103"/>
      <c r="N45" s="103"/>
      <c r="O45" s="113"/>
      <c r="P45" s="113"/>
      <c r="Q45" s="106"/>
      <c r="R45" s="106"/>
      <c r="S45" s="113"/>
      <c r="T45" s="106"/>
      <c r="U45" s="106"/>
      <c r="V45" s="113"/>
      <c r="W45" s="113"/>
      <c r="X45" s="96"/>
      <c r="Y45" s="96"/>
      <c r="Z45" s="113"/>
      <c r="AA45" s="96"/>
      <c r="AB45" s="96"/>
      <c r="AC45" s="113"/>
      <c r="AD45" s="113"/>
    </row>
    <row r="46" spans="1:30" s="20" customFormat="1" ht="15">
      <c r="A46" s="109">
        <v>7</v>
      </c>
      <c r="B46" s="93" t="s">
        <v>14</v>
      </c>
      <c r="C46" s="101">
        <v>50.13433971834619</v>
      </c>
      <c r="D46" s="101">
        <v>54.665293043363874</v>
      </c>
      <c r="E46" s="110">
        <v>9.0376244116757043</v>
      </c>
      <c r="F46" s="101">
        <v>600.01165185439459</v>
      </c>
      <c r="G46" s="101">
        <v>549.08040960261781</v>
      </c>
      <c r="H46" s="110">
        <v>-8.4883755331031985</v>
      </c>
      <c r="I46" s="110">
        <v>0.17948960719321555</v>
      </c>
      <c r="J46" s="102">
        <v>6393</v>
      </c>
      <c r="K46" s="102">
        <v>5247</v>
      </c>
      <c r="L46" s="110">
        <v>-17.925856405443451</v>
      </c>
      <c r="M46" s="101">
        <v>69178</v>
      </c>
      <c r="N46" s="101">
        <v>57548</v>
      </c>
      <c r="O46" s="110">
        <v>-16.811703142617596</v>
      </c>
      <c r="P46" s="110">
        <v>0.27763531018634729</v>
      </c>
      <c r="Q46" s="102">
        <v>43080</v>
      </c>
      <c r="R46" s="102">
        <v>28285</v>
      </c>
      <c r="S46" s="110">
        <v>-34.343082636954506</v>
      </c>
      <c r="T46" s="102">
        <v>442525</v>
      </c>
      <c r="U46" s="102">
        <v>277241</v>
      </c>
      <c r="V46" s="110">
        <v>-37.35020620303937</v>
      </c>
      <c r="W46" s="110">
        <v>0.12946191369757395</v>
      </c>
      <c r="X46" s="101">
        <v>838.64366559999962</v>
      </c>
      <c r="Y46" s="101">
        <v>1058.9803045999997</v>
      </c>
      <c r="Z46" s="110">
        <v>26.272974808956828</v>
      </c>
      <c r="AA46" s="101">
        <v>12240.2931596</v>
      </c>
      <c r="AB46" s="101">
        <v>9405.7238567000004</v>
      </c>
      <c r="AC46" s="110">
        <v>-23.157691290072258</v>
      </c>
      <c r="AD46" s="110">
        <v>0.11210769149104434</v>
      </c>
    </row>
    <row r="47" spans="1:30">
      <c r="A47" s="112"/>
      <c r="B47" s="94" t="s">
        <v>3</v>
      </c>
      <c r="C47" s="96">
        <v>1.3560037800000009</v>
      </c>
      <c r="D47" s="96">
        <v>0.96153764799999875</v>
      </c>
      <c r="E47" s="113">
        <v>-29.090341621319215</v>
      </c>
      <c r="F47" s="96">
        <v>12.874964499999999</v>
      </c>
      <c r="G47" s="96">
        <v>13.36296746</v>
      </c>
      <c r="H47" s="113">
        <v>3.7903247034195786</v>
      </c>
      <c r="I47" s="113">
        <v>3.3717419250418858E-2</v>
      </c>
      <c r="J47" s="103">
        <v>56</v>
      </c>
      <c r="K47" s="103">
        <v>40</v>
      </c>
      <c r="L47" s="113">
        <v>-28.571428571428569</v>
      </c>
      <c r="M47" s="103">
        <v>577</v>
      </c>
      <c r="N47" s="103">
        <v>471</v>
      </c>
      <c r="O47" s="113">
        <v>-18.370883882149048</v>
      </c>
      <c r="P47" s="113">
        <v>4.5000415608933968E-2</v>
      </c>
      <c r="Q47" s="103"/>
      <c r="R47" s="103"/>
      <c r="S47" s="113" t="s">
        <v>126</v>
      </c>
      <c r="T47" s="103"/>
      <c r="U47" s="103"/>
      <c r="V47" s="113" t="s">
        <v>126</v>
      </c>
      <c r="W47" s="113" t="s">
        <v>126</v>
      </c>
      <c r="X47" s="96">
        <v>4.7265582999999962</v>
      </c>
      <c r="Y47" s="96">
        <v>2.1411259000000018</v>
      </c>
      <c r="Z47" s="113">
        <v>-54.700105994672633</v>
      </c>
      <c r="AA47" s="96">
        <v>50.445541499999997</v>
      </c>
      <c r="AB47" s="96">
        <v>34.769409899999999</v>
      </c>
      <c r="AC47" s="113">
        <v>-31.075355985622632</v>
      </c>
      <c r="AD47" s="113">
        <v>0.1104863129208994</v>
      </c>
    </row>
    <row r="48" spans="1:30">
      <c r="A48" s="112"/>
      <c r="B48" s="94" t="s">
        <v>4</v>
      </c>
      <c r="C48" s="96">
        <v>42.782848186347053</v>
      </c>
      <c r="D48" s="96">
        <v>44.716336012975923</v>
      </c>
      <c r="E48" s="113">
        <v>4.5193060036752941</v>
      </c>
      <c r="F48" s="96">
        <v>463.83986183138006</v>
      </c>
      <c r="G48" s="96">
        <v>463.8106856916263</v>
      </c>
      <c r="H48" s="113">
        <v>-6.2901320379338266E-3</v>
      </c>
      <c r="I48" s="113">
        <v>0.52106486490669957</v>
      </c>
      <c r="J48" s="103">
        <v>6337</v>
      </c>
      <c r="K48" s="103">
        <v>5202</v>
      </c>
      <c r="L48" s="113">
        <v>-17.910683288622376</v>
      </c>
      <c r="M48" s="103">
        <v>68601</v>
      </c>
      <c r="N48" s="103">
        <v>57072</v>
      </c>
      <c r="O48" s="113">
        <v>-16.805877465343066</v>
      </c>
      <c r="P48" s="113">
        <v>0.29048621015052634</v>
      </c>
      <c r="Q48" s="103"/>
      <c r="R48" s="103"/>
      <c r="S48" s="113" t="s">
        <v>126</v>
      </c>
      <c r="T48" s="103"/>
      <c r="U48" s="103"/>
      <c r="V48" s="113" t="s">
        <v>126</v>
      </c>
      <c r="W48" s="113" t="s">
        <v>126</v>
      </c>
      <c r="X48" s="96">
        <v>502.68506749999949</v>
      </c>
      <c r="Y48" s="96">
        <v>666.30887349999978</v>
      </c>
      <c r="Z48" s="113">
        <v>32.549963501750611</v>
      </c>
      <c r="AA48" s="96">
        <v>6537.4709476999997</v>
      </c>
      <c r="AB48" s="96">
        <v>6086.8566569999994</v>
      </c>
      <c r="AC48" s="113">
        <v>-6.8927922480257369</v>
      </c>
      <c r="AD48" s="113">
        <v>0.22975054586696309</v>
      </c>
    </row>
    <row r="49" spans="1:34" ht="14.25" customHeight="1">
      <c r="A49" s="112"/>
      <c r="B49" s="94" t="s">
        <v>5</v>
      </c>
      <c r="C49" s="96">
        <v>5.9954877519991365</v>
      </c>
      <c r="D49" s="96">
        <v>8.9874193823879551</v>
      </c>
      <c r="E49" s="113">
        <v>49.90305633417713</v>
      </c>
      <c r="F49" s="96">
        <v>122.99632052301453</v>
      </c>
      <c r="G49" s="96">
        <v>71.906756450991494</v>
      </c>
      <c r="H49" s="113">
        <v>-41.537473523416004</v>
      </c>
      <c r="I49" s="113">
        <v>4.3854833066361114E-2</v>
      </c>
      <c r="J49" s="103">
        <v>0</v>
      </c>
      <c r="K49" s="103">
        <v>5</v>
      </c>
      <c r="L49" s="113" t="s">
        <v>126</v>
      </c>
      <c r="M49" s="103">
        <v>0</v>
      </c>
      <c r="N49" s="103">
        <v>5</v>
      </c>
      <c r="O49" s="113" t="s">
        <v>126</v>
      </c>
      <c r="P49" s="113">
        <v>0.18545994065281901</v>
      </c>
      <c r="Q49" s="103">
        <v>43080</v>
      </c>
      <c r="R49" s="103">
        <v>28285</v>
      </c>
      <c r="S49" s="113">
        <v>-34.343082636954506</v>
      </c>
      <c r="T49" s="103">
        <v>413748</v>
      </c>
      <c r="U49" s="103">
        <v>277241</v>
      </c>
      <c r="V49" s="113">
        <v>-32.992787880545649</v>
      </c>
      <c r="W49" s="113">
        <v>0.21821557806301597</v>
      </c>
      <c r="X49" s="96">
        <v>331.23203980000011</v>
      </c>
      <c r="Y49" s="96">
        <v>390.53030519999999</v>
      </c>
      <c r="Z49" s="113">
        <v>17.902333794703118</v>
      </c>
      <c r="AA49" s="96">
        <v>5390.4066703999997</v>
      </c>
      <c r="AB49" s="96">
        <v>3284.0977898000006</v>
      </c>
      <c r="AC49" s="113">
        <v>-39.075138656351115</v>
      </c>
      <c r="AD49" s="113">
        <v>0.18131691945896555</v>
      </c>
    </row>
    <row r="50" spans="1:34">
      <c r="A50" s="112"/>
      <c r="B50" s="94" t="s">
        <v>6</v>
      </c>
      <c r="C50" s="96">
        <v>0</v>
      </c>
      <c r="D50" s="96">
        <v>0</v>
      </c>
      <c r="E50" s="113" t="s">
        <v>126</v>
      </c>
      <c r="F50" s="96">
        <v>0</v>
      </c>
      <c r="G50" s="96">
        <v>0</v>
      </c>
      <c r="H50" s="113" t="s">
        <v>126</v>
      </c>
      <c r="I50" s="113">
        <v>0</v>
      </c>
      <c r="J50" s="103">
        <v>0</v>
      </c>
      <c r="K50" s="103">
        <v>0</v>
      </c>
      <c r="L50" s="113" t="s">
        <v>126</v>
      </c>
      <c r="M50" s="103">
        <v>0</v>
      </c>
      <c r="N50" s="103">
        <v>0</v>
      </c>
      <c r="O50" s="113" t="s">
        <v>126</v>
      </c>
      <c r="P50" s="113">
        <v>0</v>
      </c>
      <c r="Q50" s="106">
        <v>0</v>
      </c>
      <c r="R50" s="106">
        <v>0</v>
      </c>
      <c r="S50" s="113" t="s">
        <v>126</v>
      </c>
      <c r="T50" s="106">
        <v>0</v>
      </c>
      <c r="U50" s="106">
        <v>0</v>
      </c>
      <c r="V50" s="113" t="s">
        <v>126</v>
      </c>
      <c r="W50" s="113">
        <v>0</v>
      </c>
      <c r="X50" s="96">
        <v>0</v>
      </c>
      <c r="Y50" s="96">
        <v>0</v>
      </c>
      <c r="Z50" s="113" t="s">
        <v>126</v>
      </c>
      <c r="AA50" s="96">
        <v>0</v>
      </c>
      <c r="AB50" s="96">
        <v>0</v>
      </c>
      <c r="AC50" s="113" t="s">
        <v>126</v>
      </c>
      <c r="AD50" s="113">
        <v>0</v>
      </c>
    </row>
    <row r="51" spans="1:34">
      <c r="A51" s="112"/>
      <c r="B51" s="94" t="s">
        <v>25</v>
      </c>
      <c r="C51" s="96">
        <v>0</v>
      </c>
      <c r="D51" s="96">
        <v>0</v>
      </c>
      <c r="E51" s="113" t="s">
        <v>126</v>
      </c>
      <c r="F51" s="96">
        <v>0.30050499999999997</v>
      </c>
      <c r="G51" s="96">
        <v>0</v>
      </c>
      <c r="H51" s="113">
        <v>-100</v>
      </c>
      <c r="I51" s="113">
        <v>0</v>
      </c>
      <c r="J51" s="103">
        <v>0</v>
      </c>
      <c r="K51" s="103">
        <v>0</v>
      </c>
      <c r="L51" s="113" t="s">
        <v>126</v>
      </c>
      <c r="M51" s="103">
        <v>0</v>
      </c>
      <c r="N51" s="103">
        <v>0</v>
      </c>
      <c r="O51" s="113" t="s">
        <v>126</v>
      </c>
      <c r="P51" s="113">
        <v>0</v>
      </c>
      <c r="Q51" s="106">
        <v>0</v>
      </c>
      <c r="R51" s="106">
        <v>0</v>
      </c>
      <c r="S51" s="113" t="s">
        <v>126</v>
      </c>
      <c r="T51" s="106">
        <v>28777</v>
      </c>
      <c r="U51" s="106">
        <v>0</v>
      </c>
      <c r="V51" s="113">
        <v>-100</v>
      </c>
      <c r="W51" s="113">
        <v>0</v>
      </c>
      <c r="X51" s="96">
        <v>0</v>
      </c>
      <c r="Y51" s="96">
        <v>0</v>
      </c>
      <c r="Z51" s="113" t="s">
        <v>126</v>
      </c>
      <c r="AA51" s="96">
        <v>261.97000000000003</v>
      </c>
      <c r="AB51" s="96">
        <v>0</v>
      </c>
      <c r="AC51" s="113">
        <v>-100</v>
      </c>
      <c r="AD51" s="113">
        <v>0</v>
      </c>
    </row>
    <row r="52" spans="1:34">
      <c r="A52" s="112"/>
      <c r="B52" s="94"/>
      <c r="C52" s="104"/>
      <c r="D52" s="104"/>
      <c r="E52" s="113"/>
      <c r="F52" s="104"/>
      <c r="G52" s="104"/>
      <c r="H52" s="113"/>
      <c r="I52" s="110"/>
      <c r="J52" s="103"/>
      <c r="K52" s="103"/>
      <c r="L52" s="113"/>
      <c r="M52" s="103"/>
      <c r="N52" s="103"/>
      <c r="O52" s="113"/>
      <c r="P52" s="113"/>
      <c r="Q52" s="103"/>
      <c r="R52" s="103"/>
      <c r="S52" s="113"/>
      <c r="T52" s="103"/>
      <c r="U52" s="103"/>
      <c r="V52" s="113"/>
      <c r="W52" s="113"/>
      <c r="X52" s="96"/>
      <c r="Y52" s="96"/>
      <c r="Z52" s="113"/>
      <c r="AA52" s="96"/>
      <c r="AB52" s="96"/>
      <c r="AC52" s="113"/>
      <c r="AD52" s="113"/>
    </row>
    <row r="53" spans="1:34" s="20" customFormat="1" ht="15">
      <c r="A53" s="109">
        <v>8</v>
      </c>
      <c r="B53" s="93" t="s">
        <v>111</v>
      </c>
      <c r="C53" s="101">
        <v>218.54959200295687</v>
      </c>
      <c r="D53" s="101">
        <v>203.93174299500194</v>
      </c>
      <c r="E53" s="110">
        <v>-6.688573002578357</v>
      </c>
      <c r="F53" s="101">
        <v>2232.4336114209573</v>
      </c>
      <c r="G53" s="101">
        <v>2491.6024157959414</v>
      </c>
      <c r="H53" s="110">
        <v>11.609250239249969</v>
      </c>
      <c r="I53" s="110">
        <v>0.81448314503979757</v>
      </c>
      <c r="J53" s="102">
        <v>14225</v>
      </c>
      <c r="K53" s="102">
        <v>13206</v>
      </c>
      <c r="L53" s="110">
        <v>-7.1634446397188078</v>
      </c>
      <c r="M53" s="101">
        <v>143392</v>
      </c>
      <c r="N53" s="101">
        <v>155555</v>
      </c>
      <c r="O53" s="110">
        <v>8.4823421111358996</v>
      </c>
      <c r="P53" s="110">
        <v>0.75046153951548711</v>
      </c>
      <c r="Q53" s="102">
        <v>48486</v>
      </c>
      <c r="R53" s="102">
        <v>296875</v>
      </c>
      <c r="S53" s="110">
        <v>512.2901456090417</v>
      </c>
      <c r="T53" s="102">
        <v>8333916</v>
      </c>
      <c r="U53" s="102">
        <v>6964759</v>
      </c>
      <c r="V53" s="110">
        <v>-16.428735302827626</v>
      </c>
      <c r="W53" s="110">
        <v>3.2523004482829068</v>
      </c>
      <c r="X53" s="101">
        <v>5567.6261980630006</v>
      </c>
      <c r="Y53" s="101">
        <v>8869.7670026999986</v>
      </c>
      <c r="Z53" s="110">
        <v>59.309671432069663</v>
      </c>
      <c r="AA53" s="101">
        <v>201989.09749575608</v>
      </c>
      <c r="AB53" s="101">
        <v>180224.25276859198</v>
      </c>
      <c r="AC53" s="110">
        <v>-10.775257178235275</v>
      </c>
      <c r="AD53" s="110">
        <v>2.1481095167590922</v>
      </c>
    </row>
    <row r="54" spans="1:34">
      <c r="A54" s="112"/>
      <c r="B54" s="94" t="s">
        <v>3</v>
      </c>
      <c r="C54" s="96">
        <v>5.8437982039999996</v>
      </c>
      <c r="D54" s="96">
        <v>6.5244721000000006</v>
      </c>
      <c r="E54" s="113">
        <v>11.647799466006358</v>
      </c>
      <c r="F54" s="96">
        <v>80.594908738000015</v>
      </c>
      <c r="G54" s="96">
        <v>39.220070700000008</v>
      </c>
      <c r="H54" s="113">
        <v>-51.336788744934722</v>
      </c>
      <c r="I54" s="113">
        <v>9.8960022972544831E-2</v>
      </c>
      <c r="J54" s="103">
        <v>53</v>
      </c>
      <c r="K54" s="103">
        <v>51</v>
      </c>
      <c r="L54" s="113">
        <v>-3.7735849056603765</v>
      </c>
      <c r="M54" s="103">
        <v>557</v>
      </c>
      <c r="N54" s="103">
        <v>456</v>
      </c>
      <c r="O54" s="113">
        <v>-18.132854578096946</v>
      </c>
      <c r="P54" s="113">
        <v>4.3567281353872375E-2</v>
      </c>
      <c r="Q54" s="103"/>
      <c r="R54" s="103"/>
      <c r="S54" s="113" t="s">
        <v>126</v>
      </c>
      <c r="T54" s="103"/>
      <c r="U54" s="103"/>
      <c r="V54" s="113" t="s">
        <v>126</v>
      </c>
      <c r="W54" s="113" t="s">
        <v>126</v>
      </c>
      <c r="X54" s="96">
        <v>8.6887982039999958</v>
      </c>
      <c r="Y54" s="96">
        <v>7.0753471000000037</v>
      </c>
      <c r="Z54" s="113">
        <v>-18.569324158745225</v>
      </c>
      <c r="AA54" s="96">
        <v>95.311014897000007</v>
      </c>
      <c r="AB54" s="96">
        <v>43.719714875000001</v>
      </c>
      <c r="AC54" s="113">
        <v>-54.129420484876078</v>
      </c>
      <c r="AD54" s="113">
        <v>0.13892758353922338</v>
      </c>
    </row>
    <row r="55" spans="1:34">
      <c r="A55" s="112"/>
      <c r="B55" s="94" t="s">
        <v>4</v>
      </c>
      <c r="C55" s="96">
        <v>168.94553719695691</v>
      </c>
      <c r="D55" s="96">
        <v>154.20496970000193</v>
      </c>
      <c r="E55" s="113">
        <v>-8.7250410644291847</v>
      </c>
      <c r="F55" s="96">
        <v>1199.1367275079565</v>
      </c>
      <c r="G55" s="96">
        <v>1739.6202754529422</v>
      </c>
      <c r="H55" s="113">
        <v>45.072720695347023</v>
      </c>
      <c r="I55" s="113">
        <v>1.9543642088930164</v>
      </c>
      <c r="J55" s="103">
        <v>14172</v>
      </c>
      <c r="K55" s="103">
        <v>13150</v>
      </c>
      <c r="L55" s="113">
        <v>-7.2114027660174944</v>
      </c>
      <c r="M55" s="103">
        <v>142815</v>
      </c>
      <c r="N55" s="103">
        <v>155079</v>
      </c>
      <c r="O55" s="113">
        <v>8.5873332633126687</v>
      </c>
      <c r="P55" s="113">
        <v>0.7893242042320836</v>
      </c>
      <c r="Q55" s="103"/>
      <c r="R55" s="103"/>
      <c r="S55" s="113" t="s">
        <v>126</v>
      </c>
      <c r="T55" s="103"/>
      <c r="U55" s="103"/>
      <c r="V55" s="113" t="s">
        <v>126</v>
      </c>
      <c r="W55" s="113" t="s">
        <v>126</v>
      </c>
      <c r="X55" s="96">
        <v>1907.759736059</v>
      </c>
      <c r="Y55" s="96">
        <v>1436.1465428999998</v>
      </c>
      <c r="Z55" s="113">
        <v>-24.720785549927083</v>
      </c>
      <c r="AA55" s="96">
        <v>16785.590566158997</v>
      </c>
      <c r="AB55" s="96">
        <v>18903.0881137</v>
      </c>
      <c r="AC55" s="113">
        <v>12.614971985615075</v>
      </c>
      <c r="AD55" s="113">
        <v>0.71350371093417353</v>
      </c>
    </row>
    <row r="56" spans="1:34">
      <c r="A56" s="112"/>
      <c r="B56" s="94" t="s">
        <v>5</v>
      </c>
      <c r="C56" s="96">
        <v>41.753210610999986</v>
      </c>
      <c r="D56" s="96">
        <v>36.987994941999993</v>
      </c>
      <c r="E56" s="113">
        <v>-11.412812570022069</v>
      </c>
      <c r="F56" s="96">
        <v>616.74526603900017</v>
      </c>
      <c r="G56" s="96">
        <v>402.75253216199997</v>
      </c>
      <c r="H56" s="113">
        <v>-34.697101973940129</v>
      </c>
      <c r="I56" s="113">
        <v>0.24563262114397877</v>
      </c>
      <c r="J56" s="103">
        <v>0</v>
      </c>
      <c r="K56" s="103">
        <v>5</v>
      </c>
      <c r="L56" s="113" t="s">
        <v>126</v>
      </c>
      <c r="M56" s="103">
        <v>10</v>
      </c>
      <c r="N56" s="103">
        <v>11</v>
      </c>
      <c r="O56" s="113">
        <v>10.000000000000009</v>
      </c>
      <c r="P56" s="113">
        <v>0.40801186943620182</v>
      </c>
      <c r="Q56" s="103">
        <v>5338</v>
      </c>
      <c r="R56" s="103">
        <v>5763</v>
      </c>
      <c r="S56" s="113">
        <v>7.9617834394904552</v>
      </c>
      <c r="T56" s="103">
        <v>48216</v>
      </c>
      <c r="U56" s="103">
        <v>48557</v>
      </c>
      <c r="V56" s="113">
        <v>0.70723411315745111</v>
      </c>
      <c r="W56" s="113">
        <v>3.8219072301736996E-2</v>
      </c>
      <c r="X56" s="96">
        <v>1315.4885458000001</v>
      </c>
      <c r="Y56" s="96">
        <v>1490.7566276999999</v>
      </c>
      <c r="Z56" s="113">
        <v>13.323421360040232</v>
      </c>
      <c r="AA56" s="96">
        <v>10817.661255399998</v>
      </c>
      <c r="AB56" s="96">
        <v>12391.956112299998</v>
      </c>
      <c r="AC56" s="113">
        <v>14.55300567961617</v>
      </c>
      <c r="AD56" s="113">
        <v>0.68416699263080338</v>
      </c>
    </row>
    <row r="57" spans="1:34">
      <c r="A57" s="112"/>
      <c r="B57" s="94" t="s">
        <v>6</v>
      </c>
      <c r="C57" s="96">
        <v>8.9552438999999998E-2</v>
      </c>
      <c r="D57" s="96">
        <v>6.4972585999999999E-2</v>
      </c>
      <c r="E57" s="113">
        <v>-27.447441157911957</v>
      </c>
      <c r="F57" s="96">
        <v>0.40984227600000006</v>
      </c>
      <c r="G57" s="96">
        <v>0.37397025499999997</v>
      </c>
      <c r="H57" s="113">
        <v>-8.7526404913874867</v>
      </c>
      <c r="I57" s="113">
        <v>1.739605727557772E-2</v>
      </c>
      <c r="J57" s="103">
        <v>0</v>
      </c>
      <c r="K57" s="103">
        <v>0</v>
      </c>
      <c r="L57" s="113" t="s">
        <v>126</v>
      </c>
      <c r="M57" s="103">
        <v>2</v>
      </c>
      <c r="N57" s="103">
        <v>0</v>
      </c>
      <c r="O57" s="113">
        <v>-100</v>
      </c>
      <c r="P57" s="113">
        <v>0</v>
      </c>
      <c r="Q57" s="106">
        <v>23</v>
      </c>
      <c r="R57" s="106">
        <v>38</v>
      </c>
      <c r="S57" s="113">
        <v>65.217391304347828</v>
      </c>
      <c r="T57" s="106">
        <v>238</v>
      </c>
      <c r="U57" s="106">
        <v>179</v>
      </c>
      <c r="V57" s="113">
        <v>-24.789915966386555</v>
      </c>
      <c r="W57" s="113">
        <v>2.2089433328290197E-3</v>
      </c>
      <c r="X57" s="96">
        <v>22.528199900000001</v>
      </c>
      <c r="Y57" s="96">
        <v>17.891761000000002</v>
      </c>
      <c r="Z57" s="113">
        <v>-20.580600849515719</v>
      </c>
      <c r="AA57" s="96">
        <v>145.28211430000002</v>
      </c>
      <c r="AB57" s="96">
        <v>129.04791069999999</v>
      </c>
      <c r="AC57" s="113">
        <v>-11.174261662022101</v>
      </c>
      <c r="AD57" s="113">
        <v>0.1410897471050819</v>
      </c>
    </row>
    <row r="58" spans="1:34">
      <c r="A58" s="112"/>
      <c r="B58" s="94" t="s">
        <v>25</v>
      </c>
      <c r="C58" s="96">
        <v>1.917493552</v>
      </c>
      <c r="D58" s="96">
        <v>6.1493336669999996</v>
      </c>
      <c r="E58" s="113">
        <v>220.69644565876482</v>
      </c>
      <c r="F58" s="96">
        <v>335.54686686000036</v>
      </c>
      <c r="G58" s="96">
        <v>309.63556722599924</v>
      </c>
      <c r="H58" s="113">
        <v>-7.7221104391393514</v>
      </c>
      <c r="I58" s="113">
        <v>2.7763479956907569</v>
      </c>
      <c r="J58" s="103">
        <v>0</v>
      </c>
      <c r="K58" s="103">
        <v>0</v>
      </c>
      <c r="L58" s="113" t="s">
        <v>126</v>
      </c>
      <c r="M58" s="103">
        <v>8</v>
      </c>
      <c r="N58" s="103">
        <v>9</v>
      </c>
      <c r="O58" s="113">
        <v>12.5</v>
      </c>
      <c r="P58" s="113">
        <v>3.2721323395746224E-2</v>
      </c>
      <c r="Q58" s="106">
        <v>43125</v>
      </c>
      <c r="R58" s="106">
        <v>291074</v>
      </c>
      <c r="S58" s="113">
        <v>574.95420289855076</v>
      </c>
      <c r="T58" s="106">
        <v>8285462</v>
      </c>
      <c r="U58" s="106">
        <v>6916023</v>
      </c>
      <c r="V58" s="113">
        <v>-16.528215324625229</v>
      </c>
      <c r="W58" s="113">
        <v>8.7548871532851216</v>
      </c>
      <c r="X58" s="96">
        <v>2313.1609181000003</v>
      </c>
      <c r="Y58" s="96">
        <v>5917.8967240000002</v>
      </c>
      <c r="Z58" s="113">
        <v>155.83592899627936</v>
      </c>
      <c r="AA58" s="96">
        <v>174145.25254500008</v>
      </c>
      <c r="AB58" s="96">
        <v>148756.440917017</v>
      </c>
      <c r="AC58" s="113">
        <v>-14.579100639807841</v>
      </c>
      <c r="AD58" s="113">
        <v>3.9080756606793319</v>
      </c>
    </row>
    <row r="59" spans="1:34">
      <c r="A59" s="112"/>
      <c r="B59" s="114"/>
      <c r="C59" s="104"/>
      <c r="D59" s="104"/>
      <c r="E59" s="113"/>
      <c r="F59" s="104"/>
      <c r="G59" s="104"/>
      <c r="H59" s="113"/>
      <c r="I59" s="110"/>
      <c r="J59" s="103"/>
      <c r="K59" s="103"/>
      <c r="L59" s="113"/>
      <c r="M59" s="103"/>
      <c r="N59" s="103"/>
      <c r="O59" s="113"/>
      <c r="P59" s="113"/>
      <c r="Q59" s="103"/>
      <c r="R59" s="103"/>
      <c r="S59" s="113"/>
      <c r="T59" s="103"/>
      <c r="U59" s="103"/>
      <c r="V59" s="113"/>
      <c r="W59" s="113"/>
      <c r="X59" s="96"/>
      <c r="Y59" s="96"/>
      <c r="Z59" s="113"/>
      <c r="AA59" s="96"/>
      <c r="AB59" s="96"/>
      <c r="AC59" s="113"/>
      <c r="AD59" s="113"/>
    </row>
    <row r="60" spans="1:34" s="117" customFormat="1" ht="15">
      <c r="A60" s="109">
        <v>9</v>
      </c>
      <c r="B60" s="93" t="s">
        <v>62</v>
      </c>
      <c r="C60" s="129">
        <v>10.374362394000068</v>
      </c>
      <c r="D60" s="129">
        <v>79.411772958509999</v>
      </c>
      <c r="E60" s="110">
        <v>665.46172133370987</v>
      </c>
      <c r="F60" s="129">
        <v>53.646276900003308</v>
      </c>
      <c r="G60" s="129">
        <v>177.6679049535104</v>
      </c>
      <c r="H60" s="110">
        <v>231.18403591116578</v>
      </c>
      <c r="I60" s="131">
        <v>5.807809186641049E-2</v>
      </c>
      <c r="J60" s="129">
        <v>17</v>
      </c>
      <c r="K60" s="129">
        <v>23</v>
      </c>
      <c r="L60" s="110">
        <v>35.294117647058833</v>
      </c>
      <c r="M60" s="129">
        <v>98</v>
      </c>
      <c r="N60" s="129">
        <v>366</v>
      </c>
      <c r="O60" s="110">
        <v>273.46938775510205</v>
      </c>
      <c r="P60" s="131">
        <v>1.765735099885367E-3</v>
      </c>
      <c r="Q60" s="102">
        <v>104133</v>
      </c>
      <c r="R60" s="102">
        <v>360200</v>
      </c>
      <c r="S60" s="110">
        <v>245.90379610690175</v>
      </c>
      <c r="T60" s="129">
        <v>582653</v>
      </c>
      <c r="U60" s="129">
        <v>1380543</v>
      </c>
      <c r="V60" s="110">
        <v>136.94085502005481</v>
      </c>
      <c r="W60" s="131">
        <v>0.64466561122557575</v>
      </c>
      <c r="X60" s="129">
        <v>628.80981270000007</v>
      </c>
      <c r="Y60" s="129">
        <v>28089.523960099999</v>
      </c>
      <c r="Z60" s="110">
        <v>4367.0937687006608</v>
      </c>
      <c r="AA60" s="129">
        <v>3208.8648739499999</v>
      </c>
      <c r="AB60" s="129">
        <v>39039.724356163671</v>
      </c>
      <c r="AC60" s="110">
        <v>1116.6210136516947</v>
      </c>
      <c r="AD60" s="131">
        <v>0.46531808085122284</v>
      </c>
      <c r="AE60" s="97"/>
      <c r="AF60" s="120"/>
      <c r="AG60" s="121"/>
      <c r="AH60" s="98"/>
    </row>
    <row r="61" spans="1:34" s="22" customFormat="1">
      <c r="A61" s="109"/>
      <c r="B61" s="94" t="s">
        <v>3</v>
      </c>
      <c r="C61" s="96">
        <v>0</v>
      </c>
      <c r="D61" s="96">
        <v>0</v>
      </c>
      <c r="E61" s="113" t="s">
        <v>126</v>
      </c>
      <c r="F61" s="96">
        <v>0</v>
      </c>
      <c r="G61" s="96">
        <v>0</v>
      </c>
      <c r="H61" s="113" t="s">
        <v>126</v>
      </c>
      <c r="I61" s="113">
        <v>0</v>
      </c>
      <c r="J61" s="103">
        <v>0</v>
      </c>
      <c r="K61" s="103">
        <v>0</v>
      </c>
      <c r="L61" s="113" t="s">
        <v>126</v>
      </c>
      <c r="M61" s="103">
        <v>0</v>
      </c>
      <c r="N61" s="103">
        <v>0</v>
      </c>
      <c r="O61" s="113" t="s">
        <v>126</v>
      </c>
      <c r="P61" s="113">
        <v>0</v>
      </c>
      <c r="Q61" s="96">
        <v>0</v>
      </c>
      <c r="R61" s="96">
        <v>0</v>
      </c>
      <c r="S61" s="113" t="s">
        <v>126</v>
      </c>
      <c r="T61" s="96">
        <v>0</v>
      </c>
      <c r="U61" s="96">
        <v>0</v>
      </c>
      <c r="V61" s="113" t="s">
        <v>126</v>
      </c>
      <c r="W61" s="113">
        <v>0</v>
      </c>
      <c r="X61" s="96">
        <v>0</v>
      </c>
      <c r="Y61" s="96">
        <v>0</v>
      </c>
      <c r="Z61" s="113" t="s">
        <v>126</v>
      </c>
      <c r="AA61" s="96">
        <v>0</v>
      </c>
      <c r="AB61" s="96">
        <v>0</v>
      </c>
      <c r="AC61" s="113" t="s">
        <v>126</v>
      </c>
      <c r="AD61" s="113">
        <v>0</v>
      </c>
      <c r="AE61" s="99"/>
      <c r="AF61" s="122"/>
      <c r="AG61" s="123"/>
      <c r="AH61" s="100"/>
    </row>
    <row r="62" spans="1:34" s="22" customFormat="1">
      <c r="A62" s="109"/>
      <c r="B62" s="94" t="s">
        <v>4</v>
      </c>
      <c r="C62" s="96">
        <v>0</v>
      </c>
      <c r="D62" s="96">
        <v>0</v>
      </c>
      <c r="E62" s="113" t="s">
        <v>126</v>
      </c>
      <c r="F62" s="96">
        <v>0</v>
      </c>
      <c r="G62" s="96">
        <v>0</v>
      </c>
      <c r="H62" s="113" t="s">
        <v>126</v>
      </c>
      <c r="I62" s="113">
        <v>0</v>
      </c>
      <c r="J62" s="103">
        <v>0</v>
      </c>
      <c r="K62" s="103">
        <v>0</v>
      </c>
      <c r="L62" s="113" t="s">
        <v>126</v>
      </c>
      <c r="M62" s="103">
        <v>0</v>
      </c>
      <c r="N62" s="103">
        <v>0</v>
      </c>
      <c r="O62" s="113" t="s">
        <v>126</v>
      </c>
      <c r="P62" s="113">
        <v>0</v>
      </c>
      <c r="Q62" s="96">
        <v>0</v>
      </c>
      <c r="R62" s="96">
        <v>0</v>
      </c>
      <c r="S62" s="113" t="s">
        <v>126</v>
      </c>
      <c r="T62" s="96">
        <v>0</v>
      </c>
      <c r="U62" s="96">
        <v>0</v>
      </c>
      <c r="V62" s="113" t="s">
        <v>126</v>
      </c>
      <c r="W62" s="113">
        <v>0</v>
      </c>
      <c r="X62" s="96">
        <v>0</v>
      </c>
      <c r="Y62" s="96">
        <v>0</v>
      </c>
      <c r="Z62" s="113" t="s">
        <v>126</v>
      </c>
      <c r="AA62" s="96">
        <v>0</v>
      </c>
      <c r="AB62" s="96">
        <v>0</v>
      </c>
      <c r="AC62" s="113" t="s">
        <v>126</v>
      </c>
      <c r="AD62" s="113">
        <v>0</v>
      </c>
      <c r="AE62" s="99"/>
      <c r="AF62" s="122"/>
      <c r="AG62" s="123"/>
      <c r="AH62" s="100"/>
    </row>
    <row r="63" spans="1:34" s="22" customFormat="1">
      <c r="A63" s="109"/>
      <c r="B63" s="94" t="s">
        <v>5</v>
      </c>
      <c r="C63" s="96">
        <v>10.374362394000068</v>
      </c>
      <c r="D63" s="96">
        <v>37.752720661000005</v>
      </c>
      <c r="E63" s="113">
        <v>263.90400901007661</v>
      </c>
      <c r="F63" s="96">
        <v>53.641707154003306</v>
      </c>
      <c r="G63" s="96">
        <v>132.17371278799916</v>
      </c>
      <c r="H63" s="113">
        <v>146.40101853681401</v>
      </c>
      <c r="I63" s="113">
        <v>8.0610729730654362E-2</v>
      </c>
      <c r="J63" s="103">
        <v>17</v>
      </c>
      <c r="K63" s="103">
        <v>21</v>
      </c>
      <c r="L63" s="113">
        <v>23.529411764705888</v>
      </c>
      <c r="M63" s="103">
        <v>97</v>
      </c>
      <c r="N63" s="103">
        <v>343</v>
      </c>
      <c r="O63" s="113">
        <v>253.60824742268039</v>
      </c>
      <c r="P63" s="113">
        <v>12.722551928783382</v>
      </c>
      <c r="Q63" s="103">
        <v>104133</v>
      </c>
      <c r="R63" s="103">
        <v>268049</v>
      </c>
      <c r="S63" s="113">
        <v>157.41023498794809</v>
      </c>
      <c r="T63" s="103">
        <v>582093</v>
      </c>
      <c r="U63" s="103">
        <v>1264231</v>
      </c>
      <c r="V63" s="113">
        <v>117.18711614810692</v>
      </c>
      <c r="W63" s="113">
        <v>0.99507251261604435</v>
      </c>
      <c r="X63" s="96">
        <v>628.80981270000007</v>
      </c>
      <c r="Y63" s="96">
        <v>1944.5371451000001</v>
      </c>
      <c r="Z63" s="113">
        <v>209.24090334253779</v>
      </c>
      <c r="AA63" s="96">
        <v>3208.3272620500002</v>
      </c>
      <c r="AB63" s="96">
        <v>7823.1485333836781</v>
      </c>
      <c r="AC63" s="113">
        <v>143.83885727371157</v>
      </c>
      <c r="AD63" s="113">
        <v>0.43192051008610094</v>
      </c>
      <c r="AE63" s="99"/>
      <c r="AF63" s="122"/>
      <c r="AG63" s="123"/>
      <c r="AH63" s="100"/>
    </row>
    <row r="64" spans="1:34" s="22" customFormat="1">
      <c r="A64" s="109"/>
      <c r="B64" s="94" t="s">
        <v>6</v>
      </c>
      <c r="C64" s="96">
        <v>0</v>
      </c>
      <c r="D64" s="96">
        <v>0</v>
      </c>
      <c r="E64" s="113" t="s">
        <v>126</v>
      </c>
      <c r="F64" s="96">
        <v>0</v>
      </c>
      <c r="G64" s="96">
        <v>0</v>
      </c>
      <c r="H64" s="113" t="s">
        <v>126</v>
      </c>
      <c r="I64" s="113">
        <v>0</v>
      </c>
      <c r="J64" s="103">
        <v>0</v>
      </c>
      <c r="K64" s="103">
        <v>0</v>
      </c>
      <c r="L64" s="113" t="s">
        <v>126</v>
      </c>
      <c r="M64" s="103">
        <v>0</v>
      </c>
      <c r="N64" s="103">
        <v>0</v>
      </c>
      <c r="O64" s="113" t="s">
        <v>126</v>
      </c>
      <c r="P64" s="113">
        <v>0</v>
      </c>
      <c r="Q64" s="106">
        <v>0</v>
      </c>
      <c r="R64" s="106">
        <v>0</v>
      </c>
      <c r="S64" s="113" t="s">
        <v>126</v>
      </c>
      <c r="T64" s="106">
        <v>0</v>
      </c>
      <c r="U64" s="106">
        <v>0</v>
      </c>
      <c r="V64" s="113" t="s">
        <v>126</v>
      </c>
      <c r="W64" s="113">
        <v>0</v>
      </c>
      <c r="X64" s="96">
        <v>0</v>
      </c>
      <c r="Y64" s="96">
        <v>0</v>
      </c>
      <c r="Z64" s="113" t="s">
        <v>126</v>
      </c>
      <c r="AA64" s="96">
        <v>0</v>
      </c>
      <c r="AB64" s="96">
        <v>0</v>
      </c>
      <c r="AC64" s="113" t="s">
        <v>126</v>
      </c>
      <c r="AD64" s="113">
        <v>0</v>
      </c>
      <c r="AE64" s="99"/>
      <c r="AF64" s="122"/>
      <c r="AG64" s="123"/>
      <c r="AH64" s="100"/>
    </row>
    <row r="65" spans="1:34" s="22" customFormat="1">
      <c r="A65" s="109"/>
      <c r="B65" s="94" t="s">
        <v>25</v>
      </c>
      <c r="C65" s="96">
        <v>0</v>
      </c>
      <c r="D65" s="96">
        <v>41.659052297509994</v>
      </c>
      <c r="E65" s="113" t="s">
        <v>126</v>
      </c>
      <c r="F65" s="96">
        <v>4.5697460000000047E-3</v>
      </c>
      <c r="G65" s="96">
        <v>45.494192165511237</v>
      </c>
      <c r="H65" s="113">
        <v>995451.87893399748</v>
      </c>
      <c r="I65" s="113">
        <v>0.4079237742804166</v>
      </c>
      <c r="J65" s="103">
        <v>0</v>
      </c>
      <c r="K65" s="103">
        <v>2</v>
      </c>
      <c r="L65" s="113" t="s">
        <v>126</v>
      </c>
      <c r="M65" s="103">
        <v>1</v>
      </c>
      <c r="N65" s="103">
        <v>23</v>
      </c>
      <c r="O65" s="113">
        <v>2200</v>
      </c>
      <c r="P65" s="113">
        <v>8.3621159789129249E-2</v>
      </c>
      <c r="Q65" s="106">
        <v>0</v>
      </c>
      <c r="R65" s="106">
        <v>92151</v>
      </c>
      <c r="S65" s="113" t="s">
        <v>126</v>
      </c>
      <c r="T65" s="106">
        <v>560</v>
      </c>
      <c r="U65" s="106">
        <v>116312</v>
      </c>
      <c r="V65" s="113">
        <v>20670</v>
      </c>
      <c r="W65" s="113">
        <v>0.14723757202266374</v>
      </c>
      <c r="X65" s="96">
        <v>0</v>
      </c>
      <c r="Y65" s="96">
        <v>26144.986815</v>
      </c>
      <c r="Z65" s="113" t="s">
        <v>126</v>
      </c>
      <c r="AA65" s="96">
        <v>0.53761190000000003</v>
      </c>
      <c r="AB65" s="96">
        <v>31216.575822779996</v>
      </c>
      <c r="AC65" s="113">
        <v>5806426.1990629286</v>
      </c>
      <c r="AD65" s="113">
        <v>0.82011064146669554</v>
      </c>
      <c r="AE65" s="99"/>
      <c r="AF65" s="122"/>
      <c r="AG65" s="123"/>
      <c r="AH65" s="100"/>
    </row>
    <row r="66" spans="1:34" s="22" customFormat="1">
      <c r="A66" s="109"/>
      <c r="B66" s="94"/>
      <c r="C66" s="96"/>
      <c r="D66" s="96"/>
      <c r="E66" s="113"/>
      <c r="F66" s="96"/>
      <c r="G66" s="96"/>
      <c r="H66" s="113"/>
      <c r="I66" s="113"/>
      <c r="J66" s="103"/>
      <c r="K66" s="103"/>
      <c r="L66" s="113"/>
      <c r="M66" s="103"/>
      <c r="N66" s="103"/>
      <c r="O66" s="113"/>
      <c r="P66" s="113"/>
      <c r="Q66" s="106"/>
      <c r="R66" s="106"/>
      <c r="S66" s="113"/>
      <c r="T66" s="106"/>
      <c r="U66" s="106"/>
      <c r="V66" s="113"/>
      <c r="W66" s="113"/>
      <c r="X66" s="96"/>
      <c r="Y66" s="96"/>
      <c r="Z66" s="113"/>
      <c r="AA66" s="96"/>
      <c r="AB66" s="96"/>
      <c r="AC66" s="113"/>
      <c r="AD66" s="113"/>
      <c r="AE66" s="99"/>
      <c r="AF66" s="122"/>
      <c r="AG66" s="123"/>
      <c r="AH66" s="100"/>
    </row>
    <row r="67" spans="1:34" s="20" customFormat="1" ht="15">
      <c r="A67" s="109">
        <v>10</v>
      </c>
      <c r="B67" s="93" t="s">
        <v>58</v>
      </c>
      <c r="C67" s="101">
        <v>40.896794712999728</v>
      </c>
      <c r="D67" s="101">
        <v>55.248193874999259</v>
      </c>
      <c r="E67" s="110">
        <v>35.09174560674726</v>
      </c>
      <c r="F67" s="101">
        <v>377.41059290798114</v>
      </c>
      <c r="G67" s="101">
        <v>398.97750011999648</v>
      </c>
      <c r="H67" s="110">
        <v>5.7144414113659225</v>
      </c>
      <c r="I67" s="110">
        <v>0.13042227244511739</v>
      </c>
      <c r="J67" s="102">
        <v>4236</v>
      </c>
      <c r="K67" s="102">
        <v>3968</v>
      </c>
      <c r="L67" s="110">
        <v>-6.3267233238904597</v>
      </c>
      <c r="M67" s="101">
        <v>39338</v>
      </c>
      <c r="N67" s="101">
        <v>34715</v>
      </c>
      <c r="O67" s="110">
        <v>-11.75199552595455</v>
      </c>
      <c r="P67" s="110">
        <v>0.16747949178284294</v>
      </c>
      <c r="Q67" s="102">
        <v>17147</v>
      </c>
      <c r="R67" s="102">
        <v>430</v>
      </c>
      <c r="S67" s="110">
        <v>-97.492272700763976</v>
      </c>
      <c r="T67" s="102">
        <v>194980</v>
      </c>
      <c r="U67" s="102">
        <v>59438</v>
      </c>
      <c r="V67" s="110">
        <v>-69.515847779259417</v>
      </c>
      <c r="W67" s="110">
        <v>2.7755480705798929E-2</v>
      </c>
      <c r="X67" s="101">
        <v>759.63582717398833</v>
      </c>
      <c r="Y67" s="101">
        <v>695.70770746500057</v>
      </c>
      <c r="Z67" s="110">
        <v>-8.4156272548142397</v>
      </c>
      <c r="AA67" s="101">
        <v>7807.5053265011747</v>
      </c>
      <c r="AB67" s="101">
        <v>5999.3173835771249</v>
      </c>
      <c r="AC67" s="110">
        <v>-23.159612031086041</v>
      </c>
      <c r="AD67" s="110">
        <v>7.1506418074971503E-2</v>
      </c>
    </row>
    <row r="68" spans="1:34">
      <c r="A68" s="112"/>
      <c r="B68" s="94" t="s">
        <v>3</v>
      </c>
      <c r="C68" s="96">
        <v>0.72960360000000013</v>
      </c>
      <c r="D68" s="96">
        <v>5.7086756000000003</v>
      </c>
      <c r="E68" s="113">
        <v>682.43522921213651</v>
      </c>
      <c r="F68" s="96">
        <v>35.008220915999999</v>
      </c>
      <c r="G68" s="96">
        <v>16.5221339</v>
      </c>
      <c r="H68" s="113">
        <v>-52.804988463584564</v>
      </c>
      <c r="I68" s="113">
        <v>4.1688623225747047E-2</v>
      </c>
      <c r="J68" s="103">
        <v>17</v>
      </c>
      <c r="K68" s="103">
        <v>16</v>
      </c>
      <c r="L68" s="113">
        <v>-5.8823529411764719</v>
      </c>
      <c r="M68" s="103">
        <v>158</v>
      </c>
      <c r="N68" s="103">
        <v>150</v>
      </c>
      <c r="O68" s="113">
        <v>-5.0632911392405111</v>
      </c>
      <c r="P68" s="113">
        <v>1.4331342550615914E-2</v>
      </c>
      <c r="Q68" s="103"/>
      <c r="R68" s="103"/>
      <c r="S68" s="113" t="s">
        <v>126</v>
      </c>
      <c r="T68" s="103"/>
      <c r="U68" s="103"/>
      <c r="V68" s="113" t="s">
        <v>126</v>
      </c>
      <c r="W68" s="113" t="s">
        <v>126</v>
      </c>
      <c r="X68" s="96">
        <v>0.27261449999999998</v>
      </c>
      <c r="Y68" s="96">
        <v>7.0434672000000003</v>
      </c>
      <c r="Z68" s="113">
        <v>2483.672988780861</v>
      </c>
      <c r="AA68" s="96">
        <v>45.592051099999999</v>
      </c>
      <c r="AB68" s="96">
        <v>20.088020799999995</v>
      </c>
      <c r="AC68" s="113">
        <v>-55.939642294356005</v>
      </c>
      <c r="AD68" s="113">
        <v>6.3833448955667657E-2</v>
      </c>
    </row>
    <row r="69" spans="1:34">
      <c r="A69" s="112"/>
      <c r="B69" s="94" t="s">
        <v>4</v>
      </c>
      <c r="C69" s="96">
        <v>38.416135894999691</v>
      </c>
      <c r="D69" s="96">
        <v>49.592243849999257</v>
      </c>
      <c r="E69" s="113">
        <v>29.09222308445203</v>
      </c>
      <c r="F69" s="96">
        <v>325.17107187099759</v>
      </c>
      <c r="G69" s="96">
        <v>372.49400784799974</v>
      </c>
      <c r="H69" s="113">
        <v>14.553242914479236</v>
      </c>
      <c r="I69" s="113">
        <v>0.41847578304161792</v>
      </c>
      <c r="J69" s="103">
        <v>4219</v>
      </c>
      <c r="K69" s="103">
        <v>3952</v>
      </c>
      <c r="L69" s="113">
        <v>-6.3285138658449869</v>
      </c>
      <c r="M69" s="103">
        <v>39178</v>
      </c>
      <c r="N69" s="103">
        <v>34565</v>
      </c>
      <c r="O69" s="113">
        <v>-11.77446526111593</v>
      </c>
      <c r="P69" s="113">
        <v>0.17592963018385449</v>
      </c>
      <c r="Q69" s="103"/>
      <c r="R69" s="103"/>
      <c r="S69" s="113" t="s">
        <v>126</v>
      </c>
      <c r="T69" s="103"/>
      <c r="U69" s="103"/>
      <c r="V69" s="113" t="s">
        <v>126</v>
      </c>
      <c r="W69" s="113" t="s">
        <v>126</v>
      </c>
      <c r="X69" s="96">
        <v>568.25398229999939</v>
      </c>
      <c r="Y69" s="96">
        <v>684.27929210000059</v>
      </c>
      <c r="Z69" s="113">
        <v>20.417861275760973</v>
      </c>
      <c r="AA69" s="96">
        <v>5445.5373158999555</v>
      </c>
      <c r="AB69" s="96">
        <v>4948.3998464000961</v>
      </c>
      <c r="AC69" s="113">
        <v>-9.1292638478173807</v>
      </c>
      <c r="AD69" s="113">
        <v>0.18677909304319906</v>
      </c>
    </row>
    <row r="70" spans="1:34">
      <c r="A70" s="112"/>
      <c r="B70" s="94" t="s">
        <v>5</v>
      </c>
      <c r="C70" s="96">
        <v>1.7140989730000413</v>
      </c>
      <c r="D70" s="96">
        <v>-5.3251863000000857E-2</v>
      </c>
      <c r="E70" s="113">
        <v>-103.10669709502238</v>
      </c>
      <c r="F70" s="96">
        <v>16.220843944983525</v>
      </c>
      <c r="G70" s="96">
        <v>9.8810935869967054</v>
      </c>
      <c r="H70" s="113">
        <v>-39.083973555811546</v>
      </c>
      <c r="I70" s="113">
        <v>6.0263281388053319E-3</v>
      </c>
      <c r="J70" s="103">
        <v>0</v>
      </c>
      <c r="K70" s="103">
        <v>0</v>
      </c>
      <c r="L70" s="113" t="s">
        <v>126</v>
      </c>
      <c r="M70" s="103">
        <v>0</v>
      </c>
      <c r="N70" s="103">
        <v>0</v>
      </c>
      <c r="O70" s="113" t="s">
        <v>126</v>
      </c>
      <c r="P70" s="113">
        <v>0</v>
      </c>
      <c r="Q70" s="103">
        <v>16502</v>
      </c>
      <c r="R70" s="103">
        <v>406</v>
      </c>
      <c r="S70" s="113">
        <v>-97.539692158526236</v>
      </c>
      <c r="T70" s="103">
        <v>185302</v>
      </c>
      <c r="U70" s="103">
        <v>58653</v>
      </c>
      <c r="V70" s="113">
        <v>-68.347346493831694</v>
      </c>
      <c r="W70" s="113">
        <v>4.6165604294206401E-2</v>
      </c>
      <c r="X70" s="96">
        <v>105.50519697398882</v>
      </c>
      <c r="Y70" s="96">
        <v>-1.3740958349999974</v>
      </c>
      <c r="Z70" s="113">
        <v>-101.30239635052175</v>
      </c>
      <c r="AA70" s="96">
        <v>1054.316146278142</v>
      </c>
      <c r="AB70" s="96">
        <v>910.90261517702879</v>
      </c>
      <c r="AC70" s="113">
        <v>-13.602516816931963</v>
      </c>
      <c r="AD70" s="113">
        <v>5.0291454969455307E-2</v>
      </c>
    </row>
    <row r="71" spans="1:34">
      <c r="A71" s="112"/>
      <c r="B71" s="94" t="s">
        <v>6</v>
      </c>
      <c r="C71" s="96">
        <v>0</v>
      </c>
      <c r="D71" s="96">
        <v>0</v>
      </c>
      <c r="E71" s="113" t="s">
        <v>126</v>
      </c>
      <c r="F71" s="96">
        <v>0</v>
      </c>
      <c r="G71" s="96">
        <v>0</v>
      </c>
      <c r="H71" s="113" t="s">
        <v>126</v>
      </c>
      <c r="I71" s="113">
        <v>0</v>
      </c>
      <c r="J71" s="103">
        <v>0</v>
      </c>
      <c r="K71" s="103">
        <v>0</v>
      </c>
      <c r="L71" s="113" t="s">
        <v>126</v>
      </c>
      <c r="M71" s="103">
        <v>0</v>
      </c>
      <c r="N71" s="103">
        <v>0</v>
      </c>
      <c r="O71" s="113" t="s">
        <v>126</v>
      </c>
      <c r="P71" s="113">
        <v>0</v>
      </c>
      <c r="Q71" s="106">
        <v>0</v>
      </c>
      <c r="R71" s="106">
        <v>0</v>
      </c>
      <c r="S71" s="113" t="s">
        <v>126</v>
      </c>
      <c r="T71" s="106">
        <v>0</v>
      </c>
      <c r="U71" s="106">
        <v>0</v>
      </c>
      <c r="V71" s="113" t="s">
        <v>126</v>
      </c>
      <c r="W71" s="113">
        <v>0</v>
      </c>
      <c r="X71" s="96">
        <v>0</v>
      </c>
      <c r="Y71" s="96">
        <v>0</v>
      </c>
      <c r="Z71" s="113" t="s">
        <v>126</v>
      </c>
      <c r="AA71" s="96">
        <v>0</v>
      </c>
      <c r="AB71" s="96">
        <v>0</v>
      </c>
      <c r="AC71" s="113" t="s">
        <v>126</v>
      </c>
      <c r="AD71" s="113">
        <v>0</v>
      </c>
    </row>
    <row r="72" spans="1:34">
      <c r="A72" s="112"/>
      <c r="B72" s="94" t="s">
        <v>25</v>
      </c>
      <c r="C72" s="96">
        <v>3.6956244999999992E-2</v>
      </c>
      <c r="D72" s="96">
        <v>5.2628799999999889E-4</v>
      </c>
      <c r="E72" s="113">
        <v>-98.575915924358654</v>
      </c>
      <c r="F72" s="96">
        <v>1.0104561759999999</v>
      </c>
      <c r="G72" s="96">
        <v>8.0264784999999964E-2</v>
      </c>
      <c r="H72" s="113">
        <v>-92.056579304830734</v>
      </c>
      <c r="I72" s="113">
        <v>7.1969437153403325E-4</v>
      </c>
      <c r="J72" s="103">
        <v>0</v>
      </c>
      <c r="K72" s="103">
        <v>0</v>
      </c>
      <c r="L72" s="113" t="s">
        <v>126</v>
      </c>
      <c r="M72" s="103">
        <v>2</v>
      </c>
      <c r="N72" s="103">
        <v>0</v>
      </c>
      <c r="O72" s="113">
        <v>-100</v>
      </c>
      <c r="P72" s="113">
        <v>0</v>
      </c>
      <c r="Q72" s="106">
        <v>645</v>
      </c>
      <c r="R72" s="106">
        <v>24</v>
      </c>
      <c r="S72" s="113">
        <v>-96.279069767441854</v>
      </c>
      <c r="T72" s="106">
        <v>9678</v>
      </c>
      <c r="U72" s="106">
        <v>785</v>
      </c>
      <c r="V72" s="113">
        <v>-91.88882000413308</v>
      </c>
      <c r="W72" s="113">
        <v>9.9371942738316803E-4</v>
      </c>
      <c r="X72" s="96">
        <v>85.604033400000006</v>
      </c>
      <c r="Y72" s="96">
        <v>5.7590440000000003</v>
      </c>
      <c r="Z72" s="113">
        <v>-93.272461855751772</v>
      </c>
      <c r="AA72" s="96">
        <v>1262.0598132230768</v>
      </c>
      <c r="AB72" s="96">
        <v>119.92690120000003</v>
      </c>
      <c r="AC72" s="113">
        <v>-90.497526349901918</v>
      </c>
      <c r="AD72" s="113">
        <v>3.150676372405735E-3</v>
      </c>
    </row>
    <row r="73" spans="1:34">
      <c r="A73" s="112"/>
      <c r="B73" s="94"/>
      <c r="C73" s="104"/>
      <c r="D73" s="104"/>
      <c r="E73" s="113"/>
      <c r="F73" s="104"/>
      <c r="G73" s="104"/>
      <c r="H73" s="113"/>
      <c r="I73" s="110"/>
      <c r="J73" s="103"/>
      <c r="K73" s="103"/>
      <c r="L73" s="113"/>
      <c r="M73" s="103"/>
      <c r="N73" s="103"/>
      <c r="O73" s="113"/>
      <c r="P73" s="113"/>
      <c r="Q73" s="103"/>
      <c r="R73" s="103"/>
      <c r="S73" s="113"/>
      <c r="T73" s="103"/>
      <c r="U73" s="103"/>
      <c r="V73" s="113"/>
      <c r="W73" s="113"/>
      <c r="X73" s="96"/>
      <c r="Y73" s="96"/>
      <c r="Z73" s="113"/>
      <c r="AA73" s="96"/>
      <c r="AB73" s="96"/>
      <c r="AC73" s="113"/>
      <c r="AD73" s="113"/>
    </row>
    <row r="74" spans="1:34" s="116" customFormat="1" ht="15">
      <c r="A74" s="115">
        <v>11</v>
      </c>
      <c r="B74" s="93" t="s">
        <v>17</v>
      </c>
      <c r="C74" s="101">
        <v>32.801149496999997</v>
      </c>
      <c r="D74" s="101">
        <v>38.806502814000005</v>
      </c>
      <c r="E74" s="110">
        <v>18.308362386962251</v>
      </c>
      <c r="F74" s="101">
        <v>338.39782688000003</v>
      </c>
      <c r="G74" s="101">
        <v>378.09501342499993</v>
      </c>
      <c r="H74" s="110">
        <v>11.730922420810042</v>
      </c>
      <c r="I74" s="110">
        <v>0.12359596928705149</v>
      </c>
      <c r="J74" s="102">
        <v>2714</v>
      </c>
      <c r="K74" s="102">
        <v>3243</v>
      </c>
      <c r="L74" s="110">
        <v>19.491525423728806</v>
      </c>
      <c r="M74" s="101">
        <v>25758</v>
      </c>
      <c r="N74" s="101">
        <v>26660</v>
      </c>
      <c r="O74" s="110">
        <v>3.5018246758288685</v>
      </c>
      <c r="P74" s="110">
        <v>0.12861884634684123</v>
      </c>
      <c r="Q74" s="102">
        <v>5200</v>
      </c>
      <c r="R74" s="102">
        <v>14248</v>
      </c>
      <c r="S74" s="110">
        <v>174.00000000000003</v>
      </c>
      <c r="T74" s="102">
        <v>57228</v>
      </c>
      <c r="U74" s="102">
        <v>79280</v>
      </c>
      <c r="V74" s="110">
        <v>38.533584958411971</v>
      </c>
      <c r="W74" s="110">
        <v>3.7021005255152242E-2</v>
      </c>
      <c r="X74" s="101">
        <v>2998.7981255</v>
      </c>
      <c r="Y74" s="101">
        <v>3322.8473884000005</v>
      </c>
      <c r="Z74" s="110">
        <v>10.80597123709255</v>
      </c>
      <c r="AA74" s="101">
        <v>22968.174959200001</v>
      </c>
      <c r="AB74" s="101">
        <v>27173.588457400001</v>
      </c>
      <c r="AC74" s="110">
        <v>18.309741656315204</v>
      </c>
      <c r="AD74" s="110">
        <v>0.32388451095305937</v>
      </c>
    </row>
    <row r="75" spans="1:34">
      <c r="A75" s="112"/>
      <c r="B75" s="94" t="s">
        <v>3</v>
      </c>
      <c r="C75" s="96">
        <v>0.42027025199999996</v>
      </c>
      <c r="D75" s="96">
        <v>1.541277698</v>
      </c>
      <c r="E75" s="113">
        <v>266.73490228378103</v>
      </c>
      <c r="F75" s="96">
        <v>4.4448810890000008</v>
      </c>
      <c r="G75" s="96">
        <v>19.155394130000001</v>
      </c>
      <c r="H75" s="113">
        <v>330.95402883566311</v>
      </c>
      <c r="I75" s="113">
        <v>4.8332861448741597E-2</v>
      </c>
      <c r="J75" s="103">
        <v>16</v>
      </c>
      <c r="K75" s="103">
        <v>27</v>
      </c>
      <c r="L75" s="113">
        <v>68.75</v>
      </c>
      <c r="M75" s="103">
        <v>143</v>
      </c>
      <c r="N75" s="103">
        <v>211</v>
      </c>
      <c r="O75" s="113">
        <v>47.55244755244756</v>
      </c>
      <c r="P75" s="113">
        <v>2.0159421854533052E-2</v>
      </c>
      <c r="Q75" s="103"/>
      <c r="R75" s="103"/>
      <c r="S75" s="113" t="s">
        <v>126</v>
      </c>
      <c r="T75" s="103"/>
      <c r="U75" s="103"/>
      <c r="V75" s="113" t="s">
        <v>126</v>
      </c>
      <c r="W75" s="113" t="s">
        <v>126</v>
      </c>
      <c r="X75" s="96">
        <v>0.2851438</v>
      </c>
      <c r="Y75" s="96">
        <v>0.78218379999999998</v>
      </c>
      <c r="Z75" s="113">
        <v>174.31204886797468</v>
      </c>
      <c r="AA75" s="96">
        <v>3.7087273000000005</v>
      </c>
      <c r="AB75" s="96">
        <v>19.479930399999997</v>
      </c>
      <c r="AC75" s="113">
        <v>425.24569277444567</v>
      </c>
      <c r="AD75" s="113">
        <v>6.1901127802912202E-2</v>
      </c>
    </row>
    <row r="76" spans="1:34">
      <c r="A76" s="112"/>
      <c r="B76" s="94" t="s">
        <v>4</v>
      </c>
      <c r="C76" s="96">
        <v>29.964445399999999</v>
      </c>
      <c r="D76" s="96">
        <v>32.291670200000006</v>
      </c>
      <c r="E76" s="113">
        <v>7.766620636335908</v>
      </c>
      <c r="F76" s="96">
        <v>237.5273688</v>
      </c>
      <c r="G76" s="96">
        <v>259.40416699999997</v>
      </c>
      <c r="H76" s="113">
        <v>9.2102220937833934</v>
      </c>
      <c r="I76" s="113">
        <v>0.2914257937643937</v>
      </c>
      <c r="J76" s="103">
        <v>2695</v>
      </c>
      <c r="K76" s="103">
        <v>3211</v>
      </c>
      <c r="L76" s="113">
        <v>19.146567717996298</v>
      </c>
      <c r="M76" s="103">
        <v>25599</v>
      </c>
      <c r="N76" s="103">
        <v>26409</v>
      </c>
      <c r="O76" s="113">
        <v>3.1641861010195615</v>
      </c>
      <c r="P76" s="113">
        <v>0.13441705781933785</v>
      </c>
      <c r="Q76" s="103"/>
      <c r="R76" s="103"/>
      <c r="S76" s="113" t="s">
        <v>126</v>
      </c>
      <c r="T76" s="103"/>
      <c r="U76" s="103"/>
      <c r="V76" s="113" t="s">
        <v>126</v>
      </c>
      <c r="W76" s="113" t="s">
        <v>126</v>
      </c>
      <c r="X76" s="96">
        <v>381.90836379999996</v>
      </c>
      <c r="Y76" s="96">
        <v>358.64654220000006</v>
      </c>
      <c r="Z76" s="113">
        <v>-6.0909432222285069</v>
      </c>
      <c r="AA76" s="96">
        <v>2968.2062928</v>
      </c>
      <c r="AB76" s="96">
        <v>2939.1945825000003</v>
      </c>
      <c r="AC76" s="113">
        <v>-0.97741556475955393</v>
      </c>
      <c r="AD76" s="113">
        <v>0.11094093352141114</v>
      </c>
    </row>
    <row r="77" spans="1:34">
      <c r="A77" s="112"/>
      <c r="B77" s="94" t="s">
        <v>5</v>
      </c>
      <c r="C77" s="96">
        <v>0.63637940900000001</v>
      </c>
      <c r="D77" s="96">
        <v>1.0709672289999999</v>
      </c>
      <c r="E77" s="113">
        <v>68.290679090781168</v>
      </c>
      <c r="F77" s="96">
        <v>5.8953045599999996</v>
      </c>
      <c r="G77" s="96">
        <v>6.4905598859999998</v>
      </c>
      <c r="H77" s="113">
        <v>10.097108977860847</v>
      </c>
      <c r="I77" s="113">
        <v>3.9584933927836064E-3</v>
      </c>
      <c r="J77" s="103">
        <v>0</v>
      </c>
      <c r="K77" s="103">
        <v>0</v>
      </c>
      <c r="L77" s="113" t="s">
        <v>126</v>
      </c>
      <c r="M77" s="103">
        <v>0</v>
      </c>
      <c r="N77" s="103">
        <v>14</v>
      </c>
      <c r="O77" s="113" t="s">
        <v>126</v>
      </c>
      <c r="P77" s="113">
        <v>0.51928783382789312</v>
      </c>
      <c r="Q77" s="103">
        <v>199</v>
      </c>
      <c r="R77" s="103">
        <v>408</v>
      </c>
      <c r="S77" s="113">
        <v>105.0251256281407</v>
      </c>
      <c r="T77" s="103">
        <v>1654</v>
      </c>
      <c r="U77" s="103">
        <v>2529</v>
      </c>
      <c r="V77" s="113">
        <v>52.902055622732782</v>
      </c>
      <c r="W77" s="113">
        <v>1.9905684834543498E-3</v>
      </c>
      <c r="X77" s="96">
        <v>30.283001800000001</v>
      </c>
      <c r="Y77" s="96">
        <v>57.027297399999995</v>
      </c>
      <c r="Z77" s="113">
        <v>88.314546149120503</v>
      </c>
      <c r="AA77" s="96">
        <v>255.1293407</v>
      </c>
      <c r="AB77" s="96">
        <v>340.64162980000003</v>
      </c>
      <c r="AC77" s="113">
        <v>33.517230462548689</v>
      </c>
      <c r="AD77" s="113">
        <v>1.8807019433662708E-2</v>
      </c>
    </row>
    <row r="78" spans="1:34">
      <c r="A78" s="112"/>
      <c r="B78" s="94" t="s">
        <v>6</v>
      </c>
      <c r="C78" s="96">
        <v>0</v>
      </c>
      <c r="D78" s="96">
        <v>0</v>
      </c>
      <c r="E78" s="113" t="s">
        <v>126</v>
      </c>
      <c r="F78" s="96">
        <v>0</v>
      </c>
      <c r="G78" s="96">
        <v>0</v>
      </c>
      <c r="H78" s="113" t="s">
        <v>126</v>
      </c>
      <c r="I78" s="113">
        <v>0</v>
      </c>
      <c r="J78" s="103">
        <v>0</v>
      </c>
      <c r="K78" s="103">
        <v>0</v>
      </c>
      <c r="L78" s="113" t="s">
        <v>126</v>
      </c>
      <c r="M78" s="103">
        <v>0</v>
      </c>
      <c r="N78" s="103">
        <v>0</v>
      </c>
      <c r="O78" s="113" t="s">
        <v>126</v>
      </c>
      <c r="P78" s="113">
        <v>0</v>
      </c>
      <c r="Q78" s="106">
        <v>0</v>
      </c>
      <c r="R78" s="106">
        <v>0</v>
      </c>
      <c r="S78" s="113" t="s">
        <v>126</v>
      </c>
      <c r="T78" s="106">
        <v>0</v>
      </c>
      <c r="U78" s="106">
        <v>0</v>
      </c>
      <c r="V78" s="113" t="s">
        <v>126</v>
      </c>
      <c r="W78" s="113">
        <v>0</v>
      </c>
      <c r="X78" s="96">
        <v>0</v>
      </c>
      <c r="Y78" s="96">
        <v>0</v>
      </c>
      <c r="Z78" s="113" t="s">
        <v>126</v>
      </c>
      <c r="AA78" s="96">
        <v>0</v>
      </c>
      <c r="AB78" s="96">
        <v>0</v>
      </c>
      <c r="AC78" s="113" t="s">
        <v>126</v>
      </c>
      <c r="AD78" s="113">
        <v>0</v>
      </c>
    </row>
    <row r="79" spans="1:34">
      <c r="A79" s="112"/>
      <c r="B79" s="94" t="s">
        <v>25</v>
      </c>
      <c r="C79" s="96">
        <v>1.7800544360000001</v>
      </c>
      <c r="D79" s="96">
        <v>3.9025876870000031</v>
      </c>
      <c r="E79" s="113">
        <v>119.23979447334175</v>
      </c>
      <c r="F79" s="96">
        <v>90.530272431</v>
      </c>
      <c r="G79" s="96">
        <v>93.044892408999999</v>
      </c>
      <c r="H79" s="113">
        <v>2.7776564794020464</v>
      </c>
      <c r="I79" s="113">
        <v>0.83428723277271621</v>
      </c>
      <c r="J79" s="103">
        <v>3</v>
      </c>
      <c r="K79" s="103">
        <v>5</v>
      </c>
      <c r="L79" s="113">
        <v>66.666666666666671</v>
      </c>
      <c r="M79" s="103">
        <v>16</v>
      </c>
      <c r="N79" s="103">
        <v>26</v>
      </c>
      <c r="O79" s="113">
        <v>62.5</v>
      </c>
      <c r="P79" s="113">
        <v>9.4528267587711323E-2</v>
      </c>
      <c r="Q79" s="106">
        <v>5001</v>
      </c>
      <c r="R79" s="106">
        <v>13840</v>
      </c>
      <c r="S79" s="113">
        <v>176.74465106978604</v>
      </c>
      <c r="T79" s="106">
        <v>55574</v>
      </c>
      <c r="U79" s="106">
        <v>76751</v>
      </c>
      <c r="V79" s="113">
        <v>38.105948824990101</v>
      </c>
      <c r="W79" s="113">
        <v>9.7157910536414691E-2</v>
      </c>
      <c r="X79" s="96">
        <v>2586.3216161</v>
      </c>
      <c r="Y79" s="96">
        <v>2906.3913650000004</v>
      </c>
      <c r="Z79" s="113">
        <v>12.375481336410289</v>
      </c>
      <c r="AA79" s="96">
        <v>19741.130598400003</v>
      </c>
      <c r="AB79" s="96">
        <v>23874.2723147</v>
      </c>
      <c r="AC79" s="113">
        <v>20.936702159475008</v>
      </c>
      <c r="AD79" s="113">
        <v>0.62721628706859001</v>
      </c>
    </row>
    <row r="80" spans="1:34">
      <c r="A80" s="112"/>
      <c r="B80" s="94"/>
      <c r="C80" s="104"/>
      <c r="D80" s="104"/>
      <c r="E80" s="113"/>
      <c r="F80" s="104"/>
      <c r="G80" s="104"/>
      <c r="H80" s="113"/>
      <c r="I80" s="110"/>
      <c r="J80" s="103"/>
      <c r="K80" s="103"/>
      <c r="L80" s="113"/>
      <c r="M80" s="103"/>
      <c r="N80" s="103"/>
      <c r="O80" s="113"/>
      <c r="P80" s="113"/>
      <c r="Q80" s="103"/>
      <c r="R80" s="103"/>
      <c r="S80" s="113"/>
      <c r="T80" s="103"/>
      <c r="U80" s="103"/>
      <c r="V80" s="113"/>
      <c r="W80" s="113"/>
      <c r="X80" s="96"/>
      <c r="Y80" s="96"/>
      <c r="Z80" s="113"/>
      <c r="AA80" s="96"/>
      <c r="AB80" s="96"/>
      <c r="AC80" s="113"/>
      <c r="AD80" s="113"/>
    </row>
    <row r="81" spans="1:34" s="22" customFormat="1" ht="15">
      <c r="A81" s="109">
        <v>12</v>
      </c>
      <c r="B81" s="130" t="s">
        <v>63</v>
      </c>
      <c r="C81" s="101">
        <v>61.469206297251148</v>
      </c>
      <c r="D81" s="101">
        <v>96.396048593003968</v>
      </c>
      <c r="E81" s="110">
        <v>56.820063898099683</v>
      </c>
      <c r="F81" s="101">
        <v>280.01082010198581</v>
      </c>
      <c r="G81" s="101">
        <v>878.43874885900414</v>
      </c>
      <c r="H81" s="110">
        <v>213.71600159560202</v>
      </c>
      <c r="I81" s="110">
        <v>0.28715398185506613</v>
      </c>
      <c r="J81" s="102">
        <v>87</v>
      </c>
      <c r="K81" s="102">
        <v>1072</v>
      </c>
      <c r="L81" s="110">
        <v>1132.183908045977</v>
      </c>
      <c r="M81" s="101">
        <v>438</v>
      </c>
      <c r="N81" s="101">
        <v>3993</v>
      </c>
      <c r="O81" s="110">
        <v>811.64383561643842</v>
      </c>
      <c r="P81" s="110">
        <v>1.9263880474978883E-2</v>
      </c>
      <c r="Q81" s="102">
        <v>265653</v>
      </c>
      <c r="R81" s="102">
        <v>514853</v>
      </c>
      <c r="S81" s="110">
        <v>93.806582270857092</v>
      </c>
      <c r="T81" s="102">
        <v>1412938</v>
      </c>
      <c r="U81" s="102">
        <v>5081192</v>
      </c>
      <c r="V81" s="110">
        <v>259.61889339801178</v>
      </c>
      <c r="W81" s="110">
        <v>2.3727401076493129</v>
      </c>
      <c r="X81" s="101">
        <v>20452.198172700002</v>
      </c>
      <c r="Y81" s="101">
        <v>28959.149588100001</v>
      </c>
      <c r="Z81" s="110">
        <v>41.594313450156406</v>
      </c>
      <c r="AA81" s="101">
        <v>155065.96810500001</v>
      </c>
      <c r="AB81" s="101">
        <v>452875.69703390001</v>
      </c>
      <c r="AC81" s="110">
        <v>192.05357085652977</v>
      </c>
      <c r="AD81" s="110">
        <v>5.3978672668241705</v>
      </c>
      <c r="AE81" s="99"/>
      <c r="AF81" s="122"/>
      <c r="AG81" s="123"/>
      <c r="AH81" s="100"/>
    </row>
    <row r="82" spans="1:34" s="22" customFormat="1">
      <c r="A82" s="109"/>
      <c r="B82" s="94" t="s">
        <v>3</v>
      </c>
      <c r="C82" s="96">
        <v>0</v>
      </c>
      <c r="D82" s="96">
        <v>5.0000000000000001E-3</v>
      </c>
      <c r="E82" s="113" t="s">
        <v>126</v>
      </c>
      <c r="F82" s="96">
        <v>0</v>
      </c>
      <c r="G82" s="96">
        <v>7.4999999999999997E-3</v>
      </c>
      <c r="H82" s="113" t="s">
        <v>126</v>
      </c>
      <c r="I82" s="113">
        <v>1.8923988637636134E-5</v>
      </c>
      <c r="J82" s="103">
        <v>0</v>
      </c>
      <c r="K82" s="103">
        <v>1</v>
      </c>
      <c r="L82" s="113" t="s">
        <v>126</v>
      </c>
      <c r="M82" s="103">
        <v>0</v>
      </c>
      <c r="N82" s="103">
        <v>2</v>
      </c>
      <c r="O82" s="113" t="s">
        <v>126</v>
      </c>
      <c r="P82" s="113">
        <v>1.9108456734154552E-4</v>
      </c>
      <c r="Q82" s="103"/>
      <c r="R82" s="103"/>
      <c r="S82" s="113" t="s">
        <v>126</v>
      </c>
      <c r="T82" s="103"/>
      <c r="U82" s="103"/>
      <c r="V82" s="113" t="s">
        <v>126</v>
      </c>
      <c r="W82" s="113" t="s">
        <v>126</v>
      </c>
      <c r="X82" s="96">
        <v>0</v>
      </c>
      <c r="Y82" s="96">
        <v>6.7999999999999996E-3</v>
      </c>
      <c r="Z82" s="113" t="s">
        <v>126</v>
      </c>
      <c r="AA82" s="96">
        <v>0</v>
      </c>
      <c r="AB82" s="96">
        <v>0.01</v>
      </c>
      <c r="AC82" s="113" t="s">
        <v>126</v>
      </c>
      <c r="AD82" s="113">
        <v>3.1776873187859138E-5</v>
      </c>
      <c r="AE82" s="99"/>
      <c r="AF82" s="122"/>
      <c r="AG82" s="123"/>
      <c r="AH82" s="100"/>
    </row>
    <row r="83" spans="1:34" s="22" customFormat="1">
      <c r="A83" s="109"/>
      <c r="B83" s="94" t="s">
        <v>4</v>
      </c>
      <c r="C83" s="96">
        <v>0</v>
      </c>
      <c r="D83" s="96">
        <v>6.2686193660000118</v>
      </c>
      <c r="E83" s="113" t="s">
        <v>126</v>
      </c>
      <c r="F83" s="96">
        <v>0</v>
      </c>
      <c r="G83" s="96">
        <v>24.45254424200003</v>
      </c>
      <c r="H83" s="113" t="s">
        <v>126</v>
      </c>
      <c r="I83" s="113">
        <v>2.7471039489060385E-2</v>
      </c>
      <c r="J83" s="103">
        <v>0</v>
      </c>
      <c r="K83" s="103">
        <v>1032</v>
      </c>
      <c r="L83" s="113" t="s">
        <v>126</v>
      </c>
      <c r="M83" s="103">
        <v>0</v>
      </c>
      <c r="N83" s="103">
        <v>3335</v>
      </c>
      <c r="O83" s="113" t="s">
        <v>126</v>
      </c>
      <c r="P83" s="113">
        <v>1.697454988176348E-2</v>
      </c>
      <c r="Q83" s="103"/>
      <c r="R83" s="103"/>
      <c r="S83" s="113" t="s">
        <v>126</v>
      </c>
      <c r="T83" s="103"/>
      <c r="U83" s="103"/>
      <c r="V83" s="113" t="s">
        <v>126</v>
      </c>
      <c r="W83" s="113" t="s">
        <v>126</v>
      </c>
      <c r="X83" s="96">
        <v>0</v>
      </c>
      <c r="Y83" s="96">
        <v>182.83112070000004</v>
      </c>
      <c r="Z83" s="113" t="s">
        <v>126</v>
      </c>
      <c r="AA83" s="96">
        <v>0</v>
      </c>
      <c r="AB83" s="96">
        <v>567.58969869999999</v>
      </c>
      <c r="AC83" s="113" t="s">
        <v>126</v>
      </c>
      <c r="AD83" s="113">
        <v>2.142387285477193E-2</v>
      </c>
      <c r="AE83" s="99"/>
      <c r="AF83" s="122"/>
      <c r="AG83" s="123"/>
      <c r="AH83" s="100"/>
    </row>
    <row r="84" spans="1:34" s="22" customFormat="1">
      <c r="A84" s="109"/>
      <c r="B84" s="94" t="s">
        <v>5</v>
      </c>
      <c r="C84" s="96">
        <v>42.476257265900706</v>
      </c>
      <c r="D84" s="96">
        <v>68.711589306001471</v>
      </c>
      <c r="E84" s="113">
        <v>61.764698042645328</v>
      </c>
      <c r="F84" s="96">
        <v>153.4368297439247</v>
      </c>
      <c r="G84" s="96">
        <v>573.80512700100178</v>
      </c>
      <c r="H84" s="113">
        <v>273.96831514222646</v>
      </c>
      <c r="I84" s="113">
        <v>0.34995498753169102</v>
      </c>
      <c r="J84" s="103">
        <v>5</v>
      </c>
      <c r="K84" s="103">
        <v>4</v>
      </c>
      <c r="L84" s="113">
        <v>-19.999999999999996</v>
      </c>
      <c r="M84" s="103">
        <v>44</v>
      </c>
      <c r="N84" s="103">
        <v>84</v>
      </c>
      <c r="O84" s="113">
        <v>90.909090909090921</v>
      </c>
      <c r="P84" s="113">
        <v>3.1157270029673589</v>
      </c>
      <c r="Q84" s="103">
        <v>221286</v>
      </c>
      <c r="R84" s="103">
        <v>403576</v>
      </c>
      <c r="S84" s="113">
        <v>82.377556646150225</v>
      </c>
      <c r="T84" s="103">
        <v>785697</v>
      </c>
      <c r="U84" s="103">
        <v>3877093</v>
      </c>
      <c r="V84" s="113">
        <v>393.45905609923415</v>
      </c>
      <c r="W84" s="113">
        <v>3.0516485303366849</v>
      </c>
      <c r="X84" s="96">
        <v>4601.599484100002</v>
      </c>
      <c r="Y84" s="96">
        <v>7362.4530769000003</v>
      </c>
      <c r="Z84" s="113">
        <v>59.997694330843679</v>
      </c>
      <c r="AA84" s="96">
        <v>25326.630940800002</v>
      </c>
      <c r="AB84" s="96">
        <v>85517.562623699996</v>
      </c>
      <c r="AC84" s="113">
        <v>237.65865986515902</v>
      </c>
      <c r="AD84" s="113">
        <v>4.7214736000637618</v>
      </c>
      <c r="AE84" s="99"/>
      <c r="AF84" s="122"/>
      <c r="AG84" s="123"/>
      <c r="AH84" s="100"/>
    </row>
    <row r="85" spans="1:34" s="22" customFormat="1">
      <c r="A85" s="109"/>
      <c r="B85" s="94" t="s">
        <v>6</v>
      </c>
      <c r="C85" s="96">
        <v>1.3899047413336163</v>
      </c>
      <c r="D85" s="96">
        <v>0.29872899100000039</v>
      </c>
      <c r="E85" s="113">
        <v>-78.507232753708763</v>
      </c>
      <c r="F85" s="96">
        <v>4.8479350750011427</v>
      </c>
      <c r="G85" s="96">
        <v>6.015044425000001</v>
      </c>
      <c r="H85" s="113">
        <v>24.07436015422677</v>
      </c>
      <c r="I85" s="113">
        <v>0.27980315528689437</v>
      </c>
      <c r="J85" s="103">
        <v>0</v>
      </c>
      <c r="K85" s="103">
        <v>9</v>
      </c>
      <c r="L85" s="113" t="s">
        <v>126</v>
      </c>
      <c r="M85" s="103">
        <v>10</v>
      </c>
      <c r="N85" s="103">
        <v>63</v>
      </c>
      <c r="O85" s="113">
        <v>530</v>
      </c>
      <c r="P85" s="113">
        <v>1.5777610818933134</v>
      </c>
      <c r="Q85" s="106">
        <v>-617</v>
      </c>
      <c r="R85" s="106">
        <v>143</v>
      </c>
      <c r="S85" s="113">
        <v>-123.17666126418152</v>
      </c>
      <c r="T85" s="106">
        <v>24424</v>
      </c>
      <c r="U85" s="106">
        <v>11931</v>
      </c>
      <c r="V85" s="113">
        <v>-51.150507697346868</v>
      </c>
      <c r="W85" s="113">
        <v>0.14723409443565941</v>
      </c>
      <c r="X85" s="96">
        <v>-65.306806799999904</v>
      </c>
      <c r="Y85" s="96">
        <v>143.38</v>
      </c>
      <c r="Z85" s="113">
        <v>-319.54832432566616</v>
      </c>
      <c r="AA85" s="96">
        <v>5727.2716162000006</v>
      </c>
      <c r="AB85" s="96">
        <v>3458.5051465000001</v>
      </c>
      <c r="AC85" s="113">
        <v>-39.613390489157716</v>
      </c>
      <c r="AD85" s="113">
        <v>3.7812283347669049</v>
      </c>
      <c r="AE85" s="99"/>
      <c r="AF85" s="122"/>
      <c r="AG85" s="123"/>
      <c r="AH85" s="100"/>
    </row>
    <row r="86" spans="1:34" s="22" customFormat="1">
      <c r="A86" s="109"/>
      <c r="B86" s="94" t="s">
        <v>25</v>
      </c>
      <c r="C86" s="96">
        <v>17.603044290016825</v>
      </c>
      <c r="D86" s="96">
        <v>21.112110930002491</v>
      </c>
      <c r="E86" s="113">
        <v>19.934430557422122</v>
      </c>
      <c r="F86" s="96">
        <v>121.72605528305998</v>
      </c>
      <c r="G86" s="96">
        <v>274.15853319100233</v>
      </c>
      <c r="H86" s="113">
        <v>125.22584220237655</v>
      </c>
      <c r="I86" s="113">
        <v>2.4582430918564215</v>
      </c>
      <c r="J86" s="103">
        <v>82</v>
      </c>
      <c r="K86" s="103">
        <v>26</v>
      </c>
      <c r="L86" s="113">
        <v>-68.292682926829258</v>
      </c>
      <c r="M86" s="103">
        <v>384</v>
      </c>
      <c r="N86" s="103">
        <v>509</v>
      </c>
      <c r="O86" s="113">
        <v>32.552083333333329</v>
      </c>
      <c r="P86" s="113">
        <v>1.8505726231594255</v>
      </c>
      <c r="Q86" s="106">
        <v>44984</v>
      </c>
      <c r="R86" s="106">
        <v>111134</v>
      </c>
      <c r="S86" s="113">
        <v>147.05228525698027</v>
      </c>
      <c r="T86" s="106">
        <v>602817</v>
      </c>
      <c r="U86" s="106">
        <v>1192168</v>
      </c>
      <c r="V86" s="113">
        <v>97.766154570956033</v>
      </c>
      <c r="W86" s="113">
        <v>1.5091471366936773</v>
      </c>
      <c r="X86" s="96">
        <v>15915.9054954</v>
      </c>
      <c r="Y86" s="96">
        <v>21270.478590500003</v>
      </c>
      <c r="Z86" s="113">
        <v>33.642905812977951</v>
      </c>
      <c r="AA86" s="96">
        <v>124012.065548</v>
      </c>
      <c r="AB86" s="96">
        <v>363332.02956500003</v>
      </c>
      <c r="AC86" s="113">
        <v>192.98119336974437</v>
      </c>
      <c r="AD86" s="113">
        <v>9.5453282744261152</v>
      </c>
      <c r="AE86" s="99"/>
      <c r="AF86" s="122"/>
      <c r="AG86" s="123"/>
      <c r="AH86" s="100"/>
    </row>
    <row r="87" spans="1:34" s="22" customFormat="1">
      <c r="A87" s="109"/>
      <c r="B87" s="94"/>
      <c r="C87" s="96"/>
      <c r="D87" s="96"/>
      <c r="E87" s="113"/>
      <c r="F87" s="96"/>
      <c r="G87" s="96"/>
      <c r="H87" s="113"/>
      <c r="I87" s="113"/>
      <c r="J87" s="103"/>
      <c r="K87" s="103"/>
      <c r="L87" s="113"/>
      <c r="M87" s="103"/>
      <c r="N87" s="103"/>
      <c r="O87" s="113"/>
      <c r="P87" s="113"/>
      <c r="Q87" s="106"/>
      <c r="R87" s="106"/>
      <c r="S87" s="113"/>
      <c r="T87" s="106"/>
      <c r="U87" s="106"/>
      <c r="V87" s="113"/>
      <c r="W87" s="113"/>
      <c r="X87" s="96"/>
      <c r="Y87" s="96"/>
      <c r="Z87" s="113"/>
      <c r="AA87" s="96"/>
      <c r="AB87" s="96"/>
      <c r="AC87" s="113"/>
      <c r="AD87" s="113"/>
      <c r="AE87" s="99"/>
      <c r="AF87" s="122"/>
      <c r="AG87" s="123"/>
      <c r="AH87" s="100"/>
    </row>
    <row r="88" spans="1:34" s="20" customFormat="1" ht="15">
      <c r="A88" s="109">
        <v>13</v>
      </c>
      <c r="B88" s="93" t="s">
        <v>61</v>
      </c>
      <c r="C88" s="101">
        <v>2400.1780272690094</v>
      </c>
      <c r="D88" s="101">
        <v>3011.4360606909927</v>
      </c>
      <c r="E88" s="110">
        <v>25.467195619547024</v>
      </c>
      <c r="F88" s="101">
        <v>22744.504229341015</v>
      </c>
      <c r="G88" s="101">
        <v>25672.660794083997</v>
      </c>
      <c r="H88" s="110">
        <v>12.874127900161403</v>
      </c>
      <c r="I88" s="110">
        <v>8.3921693816570517</v>
      </c>
      <c r="J88" s="102">
        <v>100275</v>
      </c>
      <c r="K88" s="102">
        <v>110173</v>
      </c>
      <c r="L88" s="110">
        <v>9.8708551483420504</v>
      </c>
      <c r="M88" s="101">
        <v>865265</v>
      </c>
      <c r="N88" s="101">
        <v>987138</v>
      </c>
      <c r="O88" s="110">
        <v>14.085049089007406</v>
      </c>
      <c r="P88" s="110">
        <v>4.7623612432531184</v>
      </c>
      <c r="Q88" s="102">
        <v>4738884</v>
      </c>
      <c r="R88" s="102">
        <v>3858170</v>
      </c>
      <c r="S88" s="110">
        <v>-18.584839806165331</v>
      </c>
      <c r="T88" s="102">
        <v>53524041</v>
      </c>
      <c r="U88" s="102">
        <v>39540894</v>
      </c>
      <c r="V88" s="110">
        <v>-26.1249837246033</v>
      </c>
      <c r="W88" s="110">
        <v>18.464223569215662</v>
      </c>
      <c r="X88" s="101">
        <v>99704.527031214006</v>
      </c>
      <c r="Y88" s="101">
        <v>118499.02175109999</v>
      </c>
      <c r="Z88" s="110">
        <v>18.850191941637796</v>
      </c>
      <c r="AA88" s="101">
        <v>1089944.0052814649</v>
      </c>
      <c r="AB88" s="101">
        <v>1107950.0121957548</v>
      </c>
      <c r="AC88" s="110">
        <v>1.6520121058549275</v>
      </c>
      <c r="AD88" s="110">
        <v>13.205758540982671</v>
      </c>
    </row>
    <row r="89" spans="1:34">
      <c r="A89" s="112"/>
      <c r="B89" s="94" t="s">
        <v>3</v>
      </c>
      <c r="C89" s="96">
        <v>312.04101484800145</v>
      </c>
      <c r="D89" s="96">
        <v>379.80980668800191</v>
      </c>
      <c r="E89" s="113">
        <v>21.717911625499408</v>
      </c>
      <c r="F89" s="96">
        <v>2997.7430881040013</v>
      </c>
      <c r="G89" s="96">
        <v>3118.3916924950004</v>
      </c>
      <c r="H89" s="113">
        <v>4.0246479049445893</v>
      </c>
      <c r="I89" s="113">
        <v>7.8683211941965743</v>
      </c>
      <c r="J89" s="103">
        <v>3523</v>
      </c>
      <c r="K89" s="103">
        <v>3788</v>
      </c>
      <c r="L89" s="113">
        <v>7.5219982969060517</v>
      </c>
      <c r="M89" s="103">
        <v>35268</v>
      </c>
      <c r="N89" s="103">
        <v>35426</v>
      </c>
      <c r="O89" s="113">
        <v>0.44799818532381686</v>
      </c>
      <c r="P89" s="113">
        <v>3.3846809413207959</v>
      </c>
      <c r="Q89" s="103"/>
      <c r="R89" s="103"/>
      <c r="S89" s="113" t="s">
        <v>126</v>
      </c>
      <c r="T89" s="103"/>
      <c r="U89" s="103"/>
      <c r="V89" s="113" t="s">
        <v>126</v>
      </c>
      <c r="W89" s="113" t="s">
        <v>126</v>
      </c>
      <c r="X89" s="96">
        <v>134.9573226</v>
      </c>
      <c r="Y89" s="96">
        <v>158.33012110000001</v>
      </c>
      <c r="Z89" s="113">
        <v>17.318659002501601</v>
      </c>
      <c r="AA89" s="96">
        <v>1354.3899914000003</v>
      </c>
      <c r="AB89" s="96">
        <v>1292.3581327999998</v>
      </c>
      <c r="AC89" s="113">
        <v>-4.5800588452281517</v>
      </c>
      <c r="AD89" s="113">
        <v>4.1067100499284015</v>
      </c>
    </row>
    <row r="90" spans="1:34">
      <c r="A90" s="112"/>
      <c r="B90" s="94" t="s">
        <v>4</v>
      </c>
      <c r="C90" s="96">
        <v>1050.6165200210071</v>
      </c>
      <c r="D90" s="96">
        <v>1317.1991294029908</v>
      </c>
      <c r="E90" s="113">
        <v>25.373921340647996</v>
      </c>
      <c r="F90" s="96">
        <v>8025.8748490859962</v>
      </c>
      <c r="G90" s="96">
        <v>9882.5712209489957</v>
      </c>
      <c r="H90" s="113">
        <v>23.133881436918301</v>
      </c>
      <c r="I90" s="113">
        <v>11.10250539074114</v>
      </c>
      <c r="J90" s="103">
        <v>96721</v>
      </c>
      <c r="K90" s="103">
        <v>106323</v>
      </c>
      <c r="L90" s="113">
        <v>9.9275234954146363</v>
      </c>
      <c r="M90" s="103">
        <v>829527</v>
      </c>
      <c r="N90" s="103">
        <v>951133</v>
      </c>
      <c r="O90" s="113">
        <v>14.65967955232319</v>
      </c>
      <c r="P90" s="113">
        <v>4.841095817898454</v>
      </c>
      <c r="Q90" s="103"/>
      <c r="R90" s="103"/>
      <c r="S90" s="113" t="s">
        <v>126</v>
      </c>
      <c r="T90" s="103"/>
      <c r="U90" s="103"/>
      <c r="V90" s="113" t="s">
        <v>126</v>
      </c>
      <c r="W90" s="113" t="s">
        <v>126</v>
      </c>
      <c r="X90" s="96">
        <v>36150.631221900003</v>
      </c>
      <c r="Y90" s="96">
        <v>40198.090474000004</v>
      </c>
      <c r="Z90" s="113">
        <v>11.196095656686778</v>
      </c>
      <c r="AA90" s="96">
        <v>276939.94768869999</v>
      </c>
      <c r="AB90" s="96">
        <v>326554.34365037497</v>
      </c>
      <c r="AC90" s="113">
        <v>17.915218218155026</v>
      </c>
      <c r="AD90" s="113">
        <v>12.325908582489808</v>
      </c>
    </row>
    <row r="91" spans="1:34">
      <c r="A91" s="112"/>
      <c r="B91" s="94" t="s">
        <v>5</v>
      </c>
      <c r="C91" s="96">
        <v>1029.9614659860006</v>
      </c>
      <c r="D91" s="96">
        <v>1288.9828963800001</v>
      </c>
      <c r="E91" s="113">
        <v>25.148652541678686</v>
      </c>
      <c r="F91" s="96">
        <v>11470.367513160016</v>
      </c>
      <c r="G91" s="96">
        <v>12498.13621792</v>
      </c>
      <c r="H91" s="113">
        <v>8.9602072782831055</v>
      </c>
      <c r="I91" s="113">
        <v>7.6224224889226795</v>
      </c>
      <c r="J91" s="103">
        <v>16</v>
      </c>
      <c r="K91" s="103">
        <v>28</v>
      </c>
      <c r="L91" s="113">
        <v>75</v>
      </c>
      <c r="M91" s="103">
        <v>201</v>
      </c>
      <c r="N91" s="103">
        <v>302</v>
      </c>
      <c r="O91" s="113">
        <v>50.248756218905477</v>
      </c>
      <c r="P91" s="113">
        <v>11.201780415430267</v>
      </c>
      <c r="Q91" s="103">
        <v>4569643</v>
      </c>
      <c r="R91" s="103">
        <v>3613140</v>
      </c>
      <c r="S91" s="113">
        <v>-20.93167890795845</v>
      </c>
      <c r="T91" s="103">
        <v>50430532</v>
      </c>
      <c r="U91" s="103">
        <v>37058070</v>
      </c>
      <c r="V91" s="113">
        <v>-26.516599111030594</v>
      </c>
      <c r="W91" s="113">
        <v>29.168298220500255</v>
      </c>
      <c r="X91" s="96">
        <v>56043.112448814005</v>
      </c>
      <c r="Y91" s="96">
        <v>59194.930844099996</v>
      </c>
      <c r="Z91" s="113">
        <v>5.6239174763262012</v>
      </c>
      <c r="AA91" s="96">
        <v>546927.31296016497</v>
      </c>
      <c r="AB91" s="96">
        <v>555779.22446457995</v>
      </c>
      <c r="AC91" s="113">
        <v>1.6184804259464114</v>
      </c>
      <c r="AD91" s="113">
        <v>30.684889223517164</v>
      </c>
    </row>
    <row r="92" spans="1:34">
      <c r="A92" s="112"/>
      <c r="B92" s="94" t="s">
        <v>6</v>
      </c>
      <c r="C92" s="96">
        <v>0</v>
      </c>
      <c r="D92" s="96">
        <v>0</v>
      </c>
      <c r="E92" s="113" t="s">
        <v>126</v>
      </c>
      <c r="F92" s="96">
        <v>0</v>
      </c>
      <c r="G92" s="96">
        <v>0</v>
      </c>
      <c r="H92" s="113" t="s">
        <v>126</v>
      </c>
      <c r="I92" s="113">
        <v>0</v>
      </c>
      <c r="J92" s="103">
        <v>0</v>
      </c>
      <c r="K92" s="103">
        <v>0</v>
      </c>
      <c r="L92" s="113" t="s">
        <v>126</v>
      </c>
      <c r="M92" s="103">
        <v>0</v>
      </c>
      <c r="N92" s="103">
        <v>0</v>
      </c>
      <c r="O92" s="113" t="s">
        <v>126</v>
      </c>
      <c r="P92" s="113">
        <v>0</v>
      </c>
      <c r="Q92" s="106">
        <v>0</v>
      </c>
      <c r="R92" s="106">
        <v>0</v>
      </c>
      <c r="S92" s="113" t="s">
        <v>126</v>
      </c>
      <c r="T92" s="106">
        <v>0</v>
      </c>
      <c r="U92" s="106">
        <v>0</v>
      </c>
      <c r="V92" s="113" t="s">
        <v>126</v>
      </c>
      <c r="W92" s="113">
        <v>0</v>
      </c>
      <c r="X92" s="96">
        <v>0</v>
      </c>
      <c r="Y92" s="96">
        <v>0</v>
      </c>
      <c r="Z92" s="113" t="s">
        <v>126</v>
      </c>
      <c r="AA92" s="96">
        <v>0</v>
      </c>
      <c r="AB92" s="96">
        <v>0</v>
      </c>
      <c r="AC92" s="113" t="s">
        <v>126</v>
      </c>
      <c r="AD92" s="113">
        <v>0</v>
      </c>
    </row>
    <row r="93" spans="1:34">
      <c r="A93" s="112"/>
      <c r="B93" s="94" t="s">
        <v>25</v>
      </c>
      <c r="C93" s="96">
        <v>7.5590264139999999</v>
      </c>
      <c r="D93" s="96">
        <v>25.444228219999999</v>
      </c>
      <c r="E93" s="113">
        <v>236.60721403056604</v>
      </c>
      <c r="F93" s="96">
        <v>250.51877899099972</v>
      </c>
      <c r="G93" s="96">
        <v>173.56166271999999</v>
      </c>
      <c r="H93" s="113">
        <v>-30.71910081190542</v>
      </c>
      <c r="I93" s="113">
        <v>1.5562410311529806</v>
      </c>
      <c r="J93" s="103">
        <v>15</v>
      </c>
      <c r="K93" s="103">
        <v>34</v>
      </c>
      <c r="L93" s="113">
        <v>126.66666666666666</v>
      </c>
      <c r="M93" s="103">
        <v>269</v>
      </c>
      <c r="N93" s="103">
        <v>277</v>
      </c>
      <c r="O93" s="113">
        <v>2.9739776951672958</v>
      </c>
      <c r="P93" s="113">
        <v>1.0070896200690782</v>
      </c>
      <c r="Q93" s="106">
        <v>169241</v>
      </c>
      <c r="R93" s="106">
        <v>245030</v>
      </c>
      <c r="S93" s="113">
        <v>44.781701833480071</v>
      </c>
      <c r="T93" s="106">
        <v>3093509</v>
      </c>
      <c r="U93" s="106">
        <v>2482824</v>
      </c>
      <c r="V93" s="113">
        <v>-19.740850923659835</v>
      </c>
      <c r="W93" s="113">
        <v>3.1429687179276264</v>
      </c>
      <c r="X93" s="96">
        <v>7375.8260378999994</v>
      </c>
      <c r="Y93" s="96">
        <v>18947.670311900001</v>
      </c>
      <c r="Z93" s="113">
        <v>156.88879068648248</v>
      </c>
      <c r="AA93" s="96">
        <v>264722.35464119999</v>
      </c>
      <c r="AB93" s="96">
        <v>224324.08594799999</v>
      </c>
      <c r="AC93" s="113">
        <v>-15.260618525381087</v>
      </c>
      <c r="AD93" s="113">
        <v>5.893361625172024</v>
      </c>
    </row>
    <row r="94" spans="1:34">
      <c r="A94" s="112"/>
      <c r="B94" s="94"/>
      <c r="C94" s="104"/>
      <c r="D94" s="104"/>
      <c r="E94" s="113"/>
      <c r="F94" s="104"/>
      <c r="G94" s="104"/>
      <c r="H94" s="113"/>
      <c r="I94" s="110"/>
      <c r="J94" s="103"/>
      <c r="K94" s="103"/>
      <c r="L94" s="113"/>
      <c r="M94" s="103"/>
      <c r="N94" s="103"/>
      <c r="O94" s="113"/>
      <c r="P94" s="113"/>
      <c r="Q94" s="103"/>
      <c r="R94" s="103"/>
      <c r="S94" s="113"/>
      <c r="T94" s="103"/>
      <c r="U94" s="103"/>
      <c r="V94" s="113"/>
      <c r="W94" s="113"/>
      <c r="X94" s="96"/>
      <c r="Y94" s="96"/>
      <c r="Z94" s="113"/>
      <c r="AA94" s="96"/>
      <c r="AB94" s="96"/>
      <c r="AC94" s="113"/>
      <c r="AD94" s="113"/>
    </row>
    <row r="95" spans="1:34" s="20" customFormat="1" ht="15">
      <c r="A95" s="109">
        <v>14</v>
      </c>
      <c r="B95" s="93" t="s">
        <v>36</v>
      </c>
      <c r="C95" s="101">
        <v>1564.6082351999999</v>
      </c>
      <c r="D95" s="101">
        <v>1777.5323576200001</v>
      </c>
      <c r="E95" s="110">
        <v>13.608781906531565</v>
      </c>
      <c r="F95" s="101">
        <v>13091.87853319</v>
      </c>
      <c r="G95" s="101">
        <v>16916.718433950002</v>
      </c>
      <c r="H95" s="110">
        <v>29.215363487091818</v>
      </c>
      <c r="I95" s="110">
        <v>5.5299280280376593</v>
      </c>
      <c r="J95" s="101">
        <v>54046</v>
      </c>
      <c r="K95" s="101">
        <v>61788</v>
      </c>
      <c r="L95" s="110">
        <v>14.32483440032566</v>
      </c>
      <c r="M95" s="101">
        <v>454663</v>
      </c>
      <c r="N95" s="101">
        <v>520211</v>
      </c>
      <c r="O95" s="110">
        <v>14.416831807294628</v>
      </c>
      <c r="P95" s="110">
        <v>2.5097126285422591</v>
      </c>
      <c r="Q95" s="102">
        <v>4489420</v>
      </c>
      <c r="R95" s="102">
        <v>3577498</v>
      </c>
      <c r="S95" s="110">
        <v>-20.312690726196259</v>
      </c>
      <c r="T95" s="102">
        <v>41279480</v>
      </c>
      <c r="U95" s="102">
        <v>34783636</v>
      </c>
      <c r="V95" s="110">
        <v>-15.736254429561614</v>
      </c>
      <c r="W95" s="110">
        <v>16.242749383820669</v>
      </c>
      <c r="X95" s="101">
        <v>107618.5591292</v>
      </c>
      <c r="Y95" s="101">
        <v>140982.96782447002</v>
      </c>
      <c r="Z95" s="110">
        <v>31.002467385959733</v>
      </c>
      <c r="AA95" s="101">
        <v>830467.33950204996</v>
      </c>
      <c r="AB95" s="101">
        <v>1001622.6608100801</v>
      </c>
      <c r="AC95" s="110">
        <v>20.60951866098133</v>
      </c>
      <c r="AD95" s="110">
        <v>11.938433017948737</v>
      </c>
    </row>
    <row r="96" spans="1:34">
      <c r="A96" s="112"/>
      <c r="B96" s="94" t="s">
        <v>3</v>
      </c>
      <c r="C96" s="96">
        <v>157.19128321999997</v>
      </c>
      <c r="D96" s="96">
        <v>169.60836350999998</v>
      </c>
      <c r="E96" s="113">
        <v>7.8993440575336749</v>
      </c>
      <c r="F96" s="96">
        <v>1440.3392058600002</v>
      </c>
      <c r="G96" s="96">
        <v>1470.1633454099999</v>
      </c>
      <c r="H96" s="113">
        <v>2.0706330445398269</v>
      </c>
      <c r="I96" s="113">
        <v>3.7095139258677294</v>
      </c>
      <c r="J96" s="103">
        <v>5735</v>
      </c>
      <c r="K96" s="103">
        <v>4530</v>
      </c>
      <c r="L96" s="113">
        <v>-21.011333914559714</v>
      </c>
      <c r="M96" s="103">
        <v>22675</v>
      </c>
      <c r="N96" s="103">
        <v>33674</v>
      </c>
      <c r="O96" s="113">
        <v>48.507166482910691</v>
      </c>
      <c r="P96" s="113">
        <v>3.2172908603296015</v>
      </c>
      <c r="Q96" s="103"/>
      <c r="R96" s="103"/>
      <c r="S96" s="113" t="s">
        <v>126</v>
      </c>
      <c r="T96" s="103"/>
      <c r="U96" s="103"/>
      <c r="V96" s="113" t="s">
        <v>126</v>
      </c>
      <c r="W96" s="113" t="s">
        <v>126</v>
      </c>
      <c r="X96" s="96">
        <v>228.58602923000001</v>
      </c>
      <c r="Y96" s="96">
        <v>217.18236574000002</v>
      </c>
      <c r="Z96" s="113">
        <v>-4.9887841039164211</v>
      </c>
      <c r="AA96" s="96">
        <v>1936.2853122700001</v>
      </c>
      <c r="AB96" s="96">
        <v>2083.91910164</v>
      </c>
      <c r="AC96" s="113">
        <v>7.6245886096673265</v>
      </c>
      <c r="AD96" s="113">
        <v>6.6220433026571612</v>
      </c>
    </row>
    <row r="97" spans="1:30">
      <c r="A97" s="112"/>
      <c r="B97" s="94" t="s">
        <v>4</v>
      </c>
      <c r="C97" s="96">
        <v>647.05962062000003</v>
      </c>
      <c r="D97" s="96">
        <v>703.61313404999999</v>
      </c>
      <c r="E97" s="113">
        <v>8.7400776725661711</v>
      </c>
      <c r="F97" s="96">
        <v>4731.8714702000007</v>
      </c>
      <c r="G97" s="96">
        <v>6109.9616240699997</v>
      </c>
      <c r="H97" s="113">
        <v>29.123575366508248</v>
      </c>
      <c r="I97" s="113">
        <v>6.8641935739011632</v>
      </c>
      <c r="J97" s="103">
        <v>48167</v>
      </c>
      <c r="K97" s="103">
        <v>57017</v>
      </c>
      <c r="L97" s="113">
        <v>18.373575269375308</v>
      </c>
      <c r="M97" s="103">
        <v>430090</v>
      </c>
      <c r="N97" s="103">
        <v>484555</v>
      </c>
      <c r="O97" s="113">
        <v>12.663628542863115</v>
      </c>
      <c r="P97" s="113">
        <v>2.4662977565091162</v>
      </c>
      <c r="Q97" s="103"/>
      <c r="R97" s="103"/>
      <c r="S97" s="113" t="s">
        <v>126</v>
      </c>
      <c r="T97" s="103"/>
      <c r="U97" s="103"/>
      <c r="V97" s="113" t="s">
        <v>126</v>
      </c>
      <c r="W97" s="113" t="s">
        <v>126</v>
      </c>
      <c r="X97" s="96">
        <v>20585.542165770003</v>
      </c>
      <c r="Y97" s="96">
        <v>32470.478808300002</v>
      </c>
      <c r="Z97" s="113">
        <v>57.734387303592506</v>
      </c>
      <c r="AA97" s="96">
        <v>182826.47389957999</v>
      </c>
      <c r="AB97" s="96">
        <v>258814.23352388004</v>
      </c>
      <c r="AC97" s="113">
        <v>41.562776989309214</v>
      </c>
      <c r="AD97" s="113">
        <v>9.7690342948799156</v>
      </c>
    </row>
    <row r="98" spans="1:30">
      <c r="A98" s="112"/>
      <c r="B98" s="94" t="s">
        <v>5</v>
      </c>
      <c r="C98" s="96">
        <v>510.66609314999999</v>
      </c>
      <c r="D98" s="96">
        <v>474.87788479000005</v>
      </c>
      <c r="E98" s="113">
        <v>-7.0081426670103415</v>
      </c>
      <c r="F98" s="96">
        <v>4390.4477496500003</v>
      </c>
      <c r="G98" s="96">
        <v>4672.6038700300005</v>
      </c>
      <c r="H98" s="113">
        <v>6.4265910100511636</v>
      </c>
      <c r="I98" s="113">
        <v>2.8497497706639092</v>
      </c>
      <c r="J98" s="103">
        <v>22</v>
      </c>
      <c r="K98" s="103">
        <v>25</v>
      </c>
      <c r="L98" s="113">
        <v>13.636363636363647</v>
      </c>
      <c r="M98" s="103">
        <v>241</v>
      </c>
      <c r="N98" s="103">
        <v>246</v>
      </c>
      <c r="O98" s="113">
        <v>2.0746887966804906</v>
      </c>
      <c r="P98" s="113">
        <v>9.1246290801186944</v>
      </c>
      <c r="Q98" s="103">
        <v>3903942</v>
      </c>
      <c r="R98" s="103">
        <v>1959240</v>
      </c>
      <c r="S98" s="113">
        <v>-49.813803586221319</v>
      </c>
      <c r="T98" s="103">
        <v>34872510</v>
      </c>
      <c r="U98" s="103">
        <v>28744054</v>
      </c>
      <c r="V98" s="113">
        <v>-17.573888429596842</v>
      </c>
      <c r="W98" s="113">
        <v>22.624360608584396</v>
      </c>
      <c r="X98" s="96">
        <v>27778.6369442</v>
      </c>
      <c r="Y98" s="96">
        <v>26177.293826500001</v>
      </c>
      <c r="Z98" s="113">
        <v>-5.7646569229320992</v>
      </c>
      <c r="AA98" s="96">
        <v>239257.10809020002</v>
      </c>
      <c r="AB98" s="96">
        <v>255541.28987130002</v>
      </c>
      <c r="AC98" s="113">
        <v>6.8061433622949474</v>
      </c>
      <c r="AD98" s="113">
        <v>14.108580937492846</v>
      </c>
    </row>
    <row r="99" spans="1:30">
      <c r="A99" s="112"/>
      <c r="B99" s="94" t="s">
        <v>6</v>
      </c>
      <c r="C99" s="96">
        <v>0</v>
      </c>
      <c r="D99" s="96">
        <v>0</v>
      </c>
      <c r="E99" s="113" t="s">
        <v>126</v>
      </c>
      <c r="F99" s="96">
        <v>-6.9229999999999997E-4</v>
      </c>
      <c r="G99" s="96">
        <v>0</v>
      </c>
      <c r="H99" s="113">
        <v>-100</v>
      </c>
      <c r="I99" s="113">
        <v>0</v>
      </c>
      <c r="J99" s="103">
        <v>0</v>
      </c>
      <c r="K99" s="103">
        <v>0</v>
      </c>
      <c r="L99" s="113" t="s">
        <v>126</v>
      </c>
      <c r="M99" s="103">
        <v>0</v>
      </c>
      <c r="N99" s="103">
        <v>0</v>
      </c>
      <c r="O99" s="113" t="s">
        <v>126</v>
      </c>
      <c r="P99" s="113">
        <v>0</v>
      </c>
      <c r="Q99" s="106">
        <v>0</v>
      </c>
      <c r="R99" s="106">
        <v>0</v>
      </c>
      <c r="S99" s="113" t="s">
        <v>126</v>
      </c>
      <c r="T99" s="106">
        <v>0</v>
      </c>
      <c r="U99" s="106">
        <v>0</v>
      </c>
      <c r="V99" s="113" t="s">
        <v>126</v>
      </c>
      <c r="W99" s="113">
        <v>0</v>
      </c>
      <c r="X99" s="96">
        <v>0</v>
      </c>
      <c r="Y99" s="96">
        <v>0</v>
      </c>
      <c r="Z99" s="113" t="s">
        <v>126</v>
      </c>
      <c r="AA99" s="96">
        <v>0</v>
      </c>
      <c r="AB99" s="96">
        <v>0</v>
      </c>
      <c r="AC99" s="113" t="s">
        <v>126</v>
      </c>
      <c r="AD99" s="113">
        <v>0</v>
      </c>
    </row>
    <row r="100" spans="1:30">
      <c r="A100" s="112"/>
      <c r="B100" s="94" t="s">
        <v>25</v>
      </c>
      <c r="C100" s="96">
        <v>249.69123820999997</v>
      </c>
      <c r="D100" s="96">
        <v>429.43297527000004</v>
      </c>
      <c r="E100" s="113">
        <v>71.985600435378643</v>
      </c>
      <c r="F100" s="96">
        <v>2529.2207997800001</v>
      </c>
      <c r="G100" s="96">
        <v>4663.9895944399996</v>
      </c>
      <c r="H100" s="113">
        <v>84.404208396739762</v>
      </c>
      <c r="I100" s="113">
        <v>41.819672973792528</v>
      </c>
      <c r="J100" s="103">
        <v>122</v>
      </c>
      <c r="K100" s="103">
        <v>216</v>
      </c>
      <c r="L100" s="113">
        <v>77.049180327868854</v>
      </c>
      <c r="M100" s="103">
        <v>1657</v>
      </c>
      <c r="N100" s="103">
        <v>1736</v>
      </c>
      <c r="O100" s="113">
        <v>4.7676523838261931</v>
      </c>
      <c r="P100" s="113">
        <v>6.3115797127794941</v>
      </c>
      <c r="Q100" s="106">
        <v>585478</v>
      </c>
      <c r="R100" s="106">
        <v>1618258</v>
      </c>
      <c r="S100" s="113">
        <v>176.39945480445039</v>
      </c>
      <c r="T100" s="106">
        <v>6406970</v>
      </c>
      <c r="U100" s="106">
        <v>6039582</v>
      </c>
      <c r="V100" s="113">
        <v>-5.7341926058651733</v>
      </c>
      <c r="W100" s="113">
        <v>7.6454139702849533</v>
      </c>
      <c r="X100" s="96">
        <v>59025.793990000006</v>
      </c>
      <c r="Y100" s="96">
        <v>82118.012823929996</v>
      </c>
      <c r="Z100" s="113">
        <v>39.122250245108447</v>
      </c>
      <c r="AA100" s="96">
        <v>406447.47219999996</v>
      </c>
      <c r="AB100" s="96">
        <v>485183.21831326006</v>
      </c>
      <c r="AC100" s="113">
        <v>19.371690439377787</v>
      </c>
      <c r="AD100" s="113">
        <v>12.746558836520339</v>
      </c>
    </row>
    <row r="101" spans="1:30">
      <c r="A101" s="112"/>
      <c r="B101" s="114"/>
      <c r="C101" s="105"/>
      <c r="D101" s="105"/>
      <c r="E101" s="113"/>
      <c r="F101" s="105"/>
      <c r="G101" s="105"/>
      <c r="H101" s="113"/>
      <c r="I101" s="110"/>
      <c r="J101" s="103"/>
      <c r="K101" s="103"/>
      <c r="L101" s="113"/>
      <c r="M101" s="103"/>
      <c r="N101" s="103"/>
      <c r="O101" s="113"/>
      <c r="P101" s="113"/>
      <c r="Q101" s="103"/>
      <c r="R101" s="103"/>
      <c r="S101" s="113"/>
      <c r="T101" s="103"/>
      <c r="U101" s="103"/>
      <c r="V101" s="113"/>
      <c r="W101" s="113"/>
      <c r="X101" s="96"/>
      <c r="Y101" s="96"/>
      <c r="Z101" s="113"/>
      <c r="AA101" s="96"/>
      <c r="AB101" s="96"/>
      <c r="AC101" s="113"/>
      <c r="AD101" s="113"/>
    </row>
    <row r="102" spans="1:30" s="20" customFormat="1" ht="15">
      <c r="A102" s="109">
        <v>15</v>
      </c>
      <c r="B102" s="93" t="s">
        <v>38</v>
      </c>
      <c r="C102" s="101">
        <v>168.51916343100089</v>
      </c>
      <c r="D102" s="101">
        <v>243.54866708200007</v>
      </c>
      <c r="E102" s="110">
        <v>44.522831779733771</v>
      </c>
      <c r="F102" s="101">
        <v>2611.8638974135292</v>
      </c>
      <c r="G102" s="101">
        <v>2263.5827788390093</v>
      </c>
      <c r="H102" s="110">
        <v>-13.334581442754923</v>
      </c>
      <c r="I102" s="110">
        <v>0.73994551019800958</v>
      </c>
      <c r="J102" s="102">
        <v>15861</v>
      </c>
      <c r="K102" s="102">
        <v>20610</v>
      </c>
      <c r="L102" s="110">
        <v>29.941365613769634</v>
      </c>
      <c r="M102" s="101">
        <v>218497</v>
      </c>
      <c r="N102" s="101">
        <v>157181</v>
      </c>
      <c r="O102" s="110">
        <v>-28.062627862167446</v>
      </c>
      <c r="P102" s="110">
        <v>0.75830603479530567</v>
      </c>
      <c r="Q102" s="102">
        <v>677816</v>
      </c>
      <c r="R102" s="102">
        <v>698935</v>
      </c>
      <c r="S102" s="110">
        <v>3.1157423253508343</v>
      </c>
      <c r="T102" s="102">
        <v>13160237</v>
      </c>
      <c r="U102" s="102">
        <v>12470718</v>
      </c>
      <c r="V102" s="110">
        <v>-5.23941172184057</v>
      </c>
      <c r="W102" s="110">
        <v>5.8233919855388709</v>
      </c>
      <c r="X102" s="101">
        <v>12075.480902500003</v>
      </c>
      <c r="Y102" s="101">
        <v>27040.482588400035</v>
      </c>
      <c r="Z102" s="110">
        <v>123.92882574806445</v>
      </c>
      <c r="AA102" s="101">
        <v>268153.78081319999</v>
      </c>
      <c r="AB102" s="101">
        <v>313708.08136600006</v>
      </c>
      <c r="AC102" s="110">
        <v>16.98812540127259</v>
      </c>
      <c r="AD102" s="110">
        <v>3.7391156002283541</v>
      </c>
    </row>
    <row r="103" spans="1:30">
      <c r="A103" s="112"/>
      <c r="B103" s="94" t="s">
        <v>3</v>
      </c>
      <c r="C103" s="96">
        <v>5.713406299999999</v>
      </c>
      <c r="D103" s="96">
        <v>4.8483972389999996</v>
      </c>
      <c r="E103" s="113">
        <v>-15.139988573891539</v>
      </c>
      <c r="F103" s="96">
        <v>479.31542379999996</v>
      </c>
      <c r="G103" s="96">
        <v>95.148679598000001</v>
      </c>
      <c r="H103" s="113">
        <v>-80.149046979614425</v>
      </c>
      <c r="I103" s="113">
        <v>0.24007900421315112</v>
      </c>
      <c r="J103" s="103">
        <v>120</v>
      </c>
      <c r="K103" s="103">
        <v>125</v>
      </c>
      <c r="L103" s="113">
        <v>4.1666666666666741</v>
      </c>
      <c r="M103" s="103">
        <v>9613</v>
      </c>
      <c r="N103" s="103">
        <v>1735</v>
      </c>
      <c r="O103" s="113">
        <v>-81.951523977946522</v>
      </c>
      <c r="P103" s="113">
        <v>0.16576586216879075</v>
      </c>
      <c r="Q103" s="103"/>
      <c r="R103" s="103"/>
      <c r="S103" s="113" t="s">
        <v>126</v>
      </c>
      <c r="T103" s="103"/>
      <c r="U103" s="103"/>
      <c r="V103" s="113" t="s">
        <v>126</v>
      </c>
      <c r="W103" s="113" t="s">
        <v>126</v>
      </c>
      <c r="X103" s="96">
        <v>7.4007921000000003</v>
      </c>
      <c r="Y103" s="96">
        <v>5.1451041000000002</v>
      </c>
      <c r="Z103" s="113">
        <v>-30.47900778080227</v>
      </c>
      <c r="AA103" s="96">
        <v>616.94234240000003</v>
      </c>
      <c r="AB103" s="96">
        <v>110.48824990000001</v>
      </c>
      <c r="AC103" s="113">
        <v>-82.090992576359113</v>
      </c>
      <c r="AD103" s="113">
        <v>0.35109711058207904</v>
      </c>
    </row>
    <row r="104" spans="1:30">
      <c r="A104" s="112"/>
      <c r="B104" s="94" t="s">
        <v>4</v>
      </c>
      <c r="C104" s="96">
        <v>100.61490699999999</v>
      </c>
      <c r="D104" s="96">
        <v>162.41348231000001</v>
      </c>
      <c r="E104" s="113">
        <v>61.420893933738881</v>
      </c>
      <c r="F104" s="96">
        <v>1141.9790502000001</v>
      </c>
      <c r="G104" s="96">
        <v>1069.0038277750004</v>
      </c>
      <c r="H104" s="113">
        <v>-6.3902417835265179</v>
      </c>
      <c r="I104" s="113">
        <v>1.2009648597761529</v>
      </c>
      <c r="J104" s="103">
        <v>15727</v>
      </c>
      <c r="K104" s="103">
        <v>20467</v>
      </c>
      <c r="L104" s="113">
        <v>30.139250969669984</v>
      </c>
      <c r="M104" s="103">
        <v>208739</v>
      </c>
      <c r="N104" s="103">
        <v>155308</v>
      </c>
      <c r="O104" s="113">
        <v>-25.597037448679927</v>
      </c>
      <c r="P104" s="113">
        <v>0.79048977302456447</v>
      </c>
      <c r="Q104" s="103"/>
      <c r="R104" s="103"/>
      <c r="S104" s="113" t="s">
        <v>126</v>
      </c>
      <c r="T104" s="103"/>
      <c r="U104" s="103"/>
      <c r="V104" s="113" t="s">
        <v>126</v>
      </c>
      <c r="W104" s="113" t="s">
        <v>126</v>
      </c>
      <c r="X104" s="96">
        <v>955.73051600000031</v>
      </c>
      <c r="Y104" s="96">
        <v>6694.7058797</v>
      </c>
      <c r="Z104" s="113">
        <v>600.48049817632875</v>
      </c>
      <c r="AA104" s="96">
        <v>11915.969982399998</v>
      </c>
      <c r="AB104" s="96">
        <v>27897.936789399999</v>
      </c>
      <c r="AC104" s="113">
        <v>134.1222479630741</v>
      </c>
      <c r="AD104" s="113">
        <v>1.053017438574894</v>
      </c>
    </row>
    <row r="105" spans="1:30">
      <c r="A105" s="112"/>
      <c r="B105" s="94" t="s">
        <v>5</v>
      </c>
      <c r="C105" s="96">
        <v>62.18061644400089</v>
      </c>
      <c r="D105" s="96">
        <v>76.259262465000049</v>
      </c>
      <c r="E105" s="113">
        <v>22.641534976865696</v>
      </c>
      <c r="F105" s="96">
        <v>990.3434885695292</v>
      </c>
      <c r="G105" s="96">
        <v>1099.210342534009</v>
      </c>
      <c r="H105" s="113">
        <v>10.992837860905125</v>
      </c>
      <c r="I105" s="113">
        <v>0.67039160790824259</v>
      </c>
      <c r="J105" s="103">
        <v>14</v>
      </c>
      <c r="K105" s="103">
        <v>18</v>
      </c>
      <c r="L105" s="113">
        <v>28.57142857142858</v>
      </c>
      <c r="M105" s="103">
        <v>145</v>
      </c>
      <c r="N105" s="103">
        <v>137</v>
      </c>
      <c r="O105" s="113">
        <v>-5.5172413793103452</v>
      </c>
      <c r="P105" s="113">
        <v>5.0816023738872405</v>
      </c>
      <c r="Q105" s="103">
        <v>677805</v>
      </c>
      <c r="R105" s="103">
        <v>698923</v>
      </c>
      <c r="S105" s="113">
        <v>3.1156453552275254</v>
      </c>
      <c r="T105" s="103">
        <v>13160050</v>
      </c>
      <c r="U105" s="103">
        <v>12470596</v>
      </c>
      <c r="V105" s="113">
        <v>-5.2389922530689521</v>
      </c>
      <c r="W105" s="113">
        <v>9.8155695403289371</v>
      </c>
      <c r="X105" s="96">
        <v>11110.167794400002</v>
      </c>
      <c r="Y105" s="96">
        <v>20337.348582600036</v>
      </c>
      <c r="Z105" s="113">
        <v>83.051678057022031</v>
      </c>
      <c r="AA105" s="96">
        <v>255573.54343880003</v>
      </c>
      <c r="AB105" s="96">
        <v>285662.05037490005</v>
      </c>
      <c r="AC105" s="113">
        <v>11.772934917774492</v>
      </c>
      <c r="AD105" s="113">
        <v>15.771565372133153</v>
      </c>
    </row>
    <row r="106" spans="1:30">
      <c r="A106" s="112"/>
      <c r="B106" s="94" t="s">
        <v>6</v>
      </c>
      <c r="C106" s="96">
        <v>1.0233687E-2</v>
      </c>
      <c r="D106" s="96">
        <v>2.7525067999999937E-2</v>
      </c>
      <c r="E106" s="113">
        <v>168.96531035197714</v>
      </c>
      <c r="F106" s="96">
        <v>0.22593484399999997</v>
      </c>
      <c r="G106" s="96">
        <v>0.21992893199999997</v>
      </c>
      <c r="H106" s="113">
        <v>-2.6582495615417367</v>
      </c>
      <c r="I106" s="113">
        <v>1.0230482896637428E-2</v>
      </c>
      <c r="J106" s="103">
        <v>0</v>
      </c>
      <c r="K106" s="103">
        <v>0</v>
      </c>
      <c r="L106" s="113" t="s">
        <v>126</v>
      </c>
      <c r="M106" s="103">
        <v>0</v>
      </c>
      <c r="N106" s="103">
        <v>1</v>
      </c>
      <c r="O106" s="113" t="s">
        <v>126</v>
      </c>
      <c r="P106" s="113">
        <v>2.5043826696719257E-2</v>
      </c>
      <c r="Q106" s="106">
        <v>11</v>
      </c>
      <c r="R106" s="106">
        <v>12</v>
      </c>
      <c r="S106" s="113">
        <v>9.0909090909090828</v>
      </c>
      <c r="T106" s="106">
        <v>187</v>
      </c>
      <c r="U106" s="106">
        <v>122</v>
      </c>
      <c r="V106" s="113">
        <v>-34.759358288770045</v>
      </c>
      <c r="W106" s="113">
        <v>1.5055367966767619E-3</v>
      </c>
      <c r="X106" s="96">
        <v>2.1818</v>
      </c>
      <c r="Y106" s="96">
        <v>3.2830220000000003</v>
      </c>
      <c r="Z106" s="113">
        <v>50.473095609130091</v>
      </c>
      <c r="AA106" s="96">
        <v>47.3250496</v>
      </c>
      <c r="AB106" s="96">
        <v>37.6059518</v>
      </c>
      <c r="AC106" s="113">
        <v>-20.536899342203753</v>
      </c>
      <c r="AD106" s="113">
        <v>4.1115072691431803E-2</v>
      </c>
    </row>
    <row r="107" spans="1:30">
      <c r="A107" s="112"/>
      <c r="B107" s="94" t="s">
        <v>25</v>
      </c>
      <c r="C107" s="96">
        <v>0</v>
      </c>
      <c r="D107" s="96">
        <v>0</v>
      </c>
      <c r="E107" s="113" t="s">
        <v>126</v>
      </c>
      <c r="F107" s="96">
        <v>0</v>
      </c>
      <c r="G107" s="96">
        <v>0</v>
      </c>
      <c r="H107" s="113" t="s">
        <v>126</v>
      </c>
      <c r="I107" s="113">
        <v>0</v>
      </c>
      <c r="J107" s="103">
        <v>0</v>
      </c>
      <c r="K107" s="103">
        <v>0</v>
      </c>
      <c r="L107" s="113" t="s">
        <v>126</v>
      </c>
      <c r="M107" s="103">
        <v>0</v>
      </c>
      <c r="N107" s="103">
        <v>0</v>
      </c>
      <c r="O107" s="113" t="s">
        <v>126</v>
      </c>
      <c r="P107" s="113">
        <v>0</v>
      </c>
      <c r="Q107" s="106">
        <v>0</v>
      </c>
      <c r="R107" s="106">
        <v>0</v>
      </c>
      <c r="S107" s="113" t="s">
        <v>126</v>
      </c>
      <c r="T107" s="106">
        <v>0</v>
      </c>
      <c r="U107" s="106">
        <v>0</v>
      </c>
      <c r="V107" s="113" t="s">
        <v>126</v>
      </c>
      <c r="W107" s="113">
        <v>0</v>
      </c>
      <c r="X107" s="96">
        <v>0</v>
      </c>
      <c r="Y107" s="96">
        <v>0</v>
      </c>
      <c r="Z107" s="113" t="s">
        <v>126</v>
      </c>
      <c r="AA107" s="96">
        <v>0</v>
      </c>
      <c r="AB107" s="96">
        <v>0</v>
      </c>
      <c r="AC107" s="113" t="s">
        <v>126</v>
      </c>
      <c r="AD107" s="113">
        <v>0</v>
      </c>
    </row>
    <row r="108" spans="1:30">
      <c r="A108" s="112"/>
      <c r="B108" s="94"/>
      <c r="C108" s="104"/>
      <c r="D108" s="104"/>
      <c r="E108" s="113"/>
      <c r="F108" s="104"/>
      <c r="G108" s="104"/>
      <c r="H108" s="113"/>
      <c r="I108" s="110"/>
      <c r="J108" s="103"/>
      <c r="K108" s="103"/>
      <c r="L108" s="113"/>
      <c r="M108" s="103"/>
      <c r="N108" s="103"/>
      <c r="O108" s="113"/>
      <c r="P108" s="113"/>
      <c r="Q108" s="103"/>
      <c r="R108" s="103"/>
      <c r="S108" s="113"/>
      <c r="T108" s="103"/>
      <c r="U108" s="103"/>
      <c r="V108" s="113"/>
      <c r="W108" s="113"/>
      <c r="X108" s="96"/>
      <c r="Y108" s="96"/>
      <c r="Z108" s="113"/>
      <c r="AA108" s="96"/>
      <c r="AB108" s="96"/>
      <c r="AC108" s="113"/>
      <c r="AD108" s="113"/>
    </row>
    <row r="109" spans="1:30" s="20" customFormat="1" ht="15">
      <c r="A109" s="109">
        <v>16</v>
      </c>
      <c r="B109" s="93" t="s">
        <v>50</v>
      </c>
      <c r="C109" s="101">
        <v>738.2764212670013</v>
      </c>
      <c r="D109" s="101">
        <v>754.33523954599968</v>
      </c>
      <c r="E109" s="110">
        <v>2.1751769142835276</v>
      </c>
      <c r="F109" s="101">
        <v>5817.2461938860015</v>
      </c>
      <c r="G109" s="101">
        <v>6161.2972789759951</v>
      </c>
      <c r="H109" s="110">
        <v>5.914329110767147</v>
      </c>
      <c r="I109" s="110">
        <v>2.0140744580641412</v>
      </c>
      <c r="J109" s="102">
        <v>30217</v>
      </c>
      <c r="K109" s="102">
        <v>29331</v>
      </c>
      <c r="L109" s="110">
        <v>-2.9321243008902265</v>
      </c>
      <c r="M109" s="101">
        <v>223563</v>
      </c>
      <c r="N109" s="101">
        <v>216460</v>
      </c>
      <c r="O109" s="110">
        <v>-3.1771804815644789</v>
      </c>
      <c r="P109" s="110">
        <v>1.0442924036097994</v>
      </c>
      <c r="Q109" s="102">
        <v>2187846</v>
      </c>
      <c r="R109" s="102">
        <v>1122279</v>
      </c>
      <c r="S109" s="110">
        <v>-48.703930715415986</v>
      </c>
      <c r="T109" s="102">
        <v>18470788</v>
      </c>
      <c r="U109" s="102">
        <v>14181295</v>
      </c>
      <c r="V109" s="110">
        <v>-23.223118580539172</v>
      </c>
      <c r="W109" s="110">
        <v>6.6221720070618595</v>
      </c>
      <c r="X109" s="101">
        <v>27716.112828667017</v>
      </c>
      <c r="Y109" s="101">
        <v>25719.884190717996</v>
      </c>
      <c r="Z109" s="110">
        <v>-7.2024120059300145</v>
      </c>
      <c r="AA109" s="101">
        <v>251379.343891786</v>
      </c>
      <c r="AB109" s="101">
        <v>227870.89112027295</v>
      </c>
      <c r="AC109" s="110">
        <v>-9.3517838051295872</v>
      </c>
      <c r="AD109" s="110">
        <v>2.7160142005767711</v>
      </c>
    </row>
    <row r="110" spans="1:30">
      <c r="A110" s="112"/>
      <c r="B110" s="94" t="s">
        <v>3</v>
      </c>
      <c r="C110" s="96">
        <v>163.54819470000001</v>
      </c>
      <c r="D110" s="96">
        <v>64.606783899999996</v>
      </c>
      <c r="E110" s="113">
        <v>-60.496791775348171</v>
      </c>
      <c r="F110" s="96">
        <v>984.74251261799986</v>
      </c>
      <c r="G110" s="96">
        <v>1047.9265580000001</v>
      </c>
      <c r="H110" s="113">
        <v>6.4163011723766816</v>
      </c>
      <c r="I110" s="113">
        <v>2.6441267035558864</v>
      </c>
      <c r="J110" s="103">
        <v>4856</v>
      </c>
      <c r="K110" s="103">
        <v>884</v>
      </c>
      <c r="L110" s="113">
        <v>-81.795716639209232</v>
      </c>
      <c r="M110" s="103">
        <v>24213</v>
      </c>
      <c r="N110" s="103">
        <v>16625</v>
      </c>
      <c r="O110" s="113">
        <v>-31.338537149465161</v>
      </c>
      <c r="P110" s="113">
        <v>1.5883904660265971</v>
      </c>
      <c r="Q110" s="103"/>
      <c r="R110" s="103"/>
      <c r="S110" s="113" t="s">
        <v>126</v>
      </c>
      <c r="T110" s="103"/>
      <c r="U110" s="103"/>
      <c r="V110" s="113" t="s">
        <v>126</v>
      </c>
      <c r="W110" s="113" t="s">
        <v>126</v>
      </c>
      <c r="X110" s="96">
        <v>706.59786229999997</v>
      </c>
      <c r="Y110" s="96">
        <v>71.271152900000004</v>
      </c>
      <c r="Z110" s="113">
        <v>-89.913477424342886</v>
      </c>
      <c r="AA110" s="96">
        <v>3781.9763920999999</v>
      </c>
      <c r="AB110" s="96">
        <v>2944.3354322519999</v>
      </c>
      <c r="AC110" s="113">
        <v>-22.148233436827113</v>
      </c>
      <c r="AD110" s="113">
        <v>9.3561773653192208</v>
      </c>
    </row>
    <row r="111" spans="1:30">
      <c r="A111" s="112"/>
      <c r="B111" s="94" t="s">
        <v>4</v>
      </c>
      <c r="C111" s="96">
        <v>252.53104978100146</v>
      </c>
      <c r="D111" s="96">
        <v>295.16314384499992</v>
      </c>
      <c r="E111" s="113">
        <v>16.881921688825852</v>
      </c>
      <c r="F111" s="96">
        <v>1655.2258630830024</v>
      </c>
      <c r="G111" s="96">
        <v>1885.9752188719938</v>
      </c>
      <c r="H111" s="113">
        <v>13.940656736670398</v>
      </c>
      <c r="I111" s="113">
        <v>2.1187856445642486</v>
      </c>
      <c r="J111" s="103">
        <v>25305</v>
      </c>
      <c r="K111" s="103">
        <v>28391</v>
      </c>
      <c r="L111" s="113">
        <v>12.195218336297176</v>
      </c>
      <c r="M111" s="103">
        <v>198692</v>
      </c>
      <c r="N111" s="103">
        <v>199072</v>
      </c>
      <c r="O111" s="113">
        <v>0.19125078010187035</v>
      </c>
      <c r="P111" s="113">
        <v>1.013240657889781</v>
      </c>
      <c r="Q111" s="103"/>
      <c r="R111" s="103"/>
      <c r="S111" s="113" t="s">
        <v>126</v>
      </c>
      <c r="T111" s="103"/>
      <c r="U111" s="103"/>
      <c r="V111" s="113" t="s">
        <v>126</v>
      </c>
      <c r="W111" s="113" t="s">
        <v>126</v>
      </c>
      <c r="X111" s="96">
        <v>3987.2831669000002</v>
      </c>
      <c r="Y111" s="96">
        <v>6198.8717140999997</v>
      </c>
      <c r="Z111" s="113">
        <v>55.466051810898762</v>
      </c>
      <c r="AA111" s="96">
        <v>27788.9748597</v>
      </c>
      <c r="AB111" s="96">
        <v>38173.761120499999</v>
      </c>
      <c r="AC111" s="113">
        <v>37.37016681338676</v>
      </c>
      <c r="AD111" s="113">
        <v>1.4408820429743083</v>
      </c>
    </row>
    <row r="112" spans="1:30">
      <c r="A112" s="112"/>
      <c r="B112" s="94" t="s">
        <v>5</v>
      </c>
      <c r="C112" s="96">
        <v>233.83121124599995</v>
      </c>
      <c r="D112" s="96">
        <v>194.86222505699985</v>
      </c>
      <c r="E112" s="113">
        <v>-16.665434003163572</v>
      </c>
      <c r="F112" s="96">
        <v>2180.0601375379988</v>
      </c>
      <c r="G112" s="96">
        <v>1915.7310312610009</v>
      </c>
      <c r="H112" s="113">
        <v>-12.124853884788333</v>
      </c>
      <c r="I112" s="113">
        <v>1.1683751113604928</v>
      </c>
      <c r="J112" s="103">
        <v>17</v>
      </c>
      <c r="K112" s="103">
        <v>12</v>
      </c>
      <c r="L112" s="113">
        <v>-29.411764705882348</v>
      </c>
      <c r="M112" s="103">
        <v>84</v>
      </c>
      <c r="N112" s="103">
        <v>77</v>
      </c>
      <c r="O112" s="113">
        <v>-8.3333333333333375</v>
      </c>
      <c r="P112" s="113">
        <v>2.8560830860534123</v>
      </c>
      <c r="Q112" s="103">
        <v>2048976</v>
      </c>
      <c r="R112" s="103">
        <v>1101597</v>
      </c>
      <c r="S112" s="113">
        <v>-46.236705554384237</v>
      </c>
      <c r="T112" s="103">
        <v>17605238</v>
      </c>
      <c r="U112" s="103">
        <v>13410035</v>
      </c>
      <c r="V112" s="113">
        <v>-23.829288760538205</v>
      </c>
      <c r="W112" s="113">
        <v>10.554999222230032</v>
      </c>
      <c r="X112" s="96">
        <v>18587.894809000016</v>
      </c>
      <c r="Y112" s="96">
        <v>14039.618953899995</v>
      </c>
      <c r="Z112" s="113">
        <v>-24.469020843058598</v>
      </c>
      <c r="AA112" s="96">
        <v>152332.71208319999</v>
      </c>
      <c r="AB112" s="96">
        <v>144630.11655789995</v>
      </c>
      <c r="AC112" s="113">
        <v>-5.0564290623888457</v>
      </c>
      <c r="AD112" s="113">
        <v>7.9851115507941568</v>
      </c>
    </row>
    <row r="113" spans="1:30">
      <c r="A113" s="112"/>
      <c r="B113" s="94" t="s">
        <v>6</v>
      </c>
      <c r="C113" s="96">
        <v>4.7897575000000005E-2</v>
      </c>
      <c r="D113" s="96">
        <v>1.1510080999999998E-2</v>
      </c>
      <c r="E113" s="113">
        <v>-75.96938675914177</v>
      </c>
      <c r="F113" s="96">
        <v>1.5642926160000008</v>
      </c>
      <c r="G113" s="96">
        <v>9.5766354000000012E-2</v>
      </c>
      <c r="H113" s="113">
        <v>-93.877976983303739</v>
      </c>
      <c r="I113" s="113">
        <v>4.4547847241413674E-3</v>
      </c>
      <c r="J113" s="103">
        <v>1</v>
      </c>
      <c r="K113" s="103">
        <v>0</v>
      </c>
      <c r="L113" s="113">
        <v>-100</v>
      </c>
      <c r="M113" s="103">
        <v>8</v>
      </c>
      <c r="N113" s="103">
        <v>5</v>
      </c>
      <c r="O113" s="113">
        <v>-37.5</v>
      </c>
      <c r="P113" s="113">
        <v>0.12521913348359628</v>
      </c>
      <c r="Q113" s="106">
        <v>21</v>
      </c>
      <c r="R113" s="106">
        <v>9</v>
      </c>
      <c r="S113" s="113">
        <v>-57.142857142857139</v>
      </c>
      <c r="T113" s="106">
        <v>24873</v>
      </c>
      <c r="U113" s="106">
        <v>305</v>
      </c>
      <c r="V113" s="113">
        <v>-98.773770755437624</v>
      </c>
      <c r="W113" s="113">
        <v>3.7638419916919048E-3</v>
      </c>
      <c r="X113" s="96">
        <v>2.5297527</v>
      </c>
      <c r="Y113" s="96">
        <v>1.4102833000000001</v>
      </c>
      <c r="Z113" s="113">
        <v>-44.252127885860141</v>
      </c>
      <c r="AA113" s="96">
        <v>2179.5440816999999</v>
      </c>
      <c r="AB113" s="96">
        <v>33.1097818</v>
      </c>
      <c r="AC113" s="113">
        <v>-98.480884966814941</v>
      </c>
      <c r="AD113" s="113">
        <v>3.6199351973440694E-2</v>
      </c>
    </row>
    <row r="114" spans="1:30">
      <c r="A114" s="112"/>
      <c r="B114" s="94" t="s">
        <v>25</v>
      </c>
      <c r="C114" s="96">
        <v>88.318067964999941</v>
      </c>
      <c r="D114" s="96">
        <v>199.69157666300001</v>
      </c>
      <c r="E114" s="113">
        <v>126.10501029317906</v>
      </c>
      <c r="F114" s="96">
        <v>995.65338803099996</v>
      </c>
      <c r="G114" s="96">
        <v>1311.5687044889999</v>
      </c>
      <c r="H114" s="113">
        <v>31.729447240947238</v>
      </c>
      <c r="I114" s="113">
        <v>11.760183678320665</v>
      </c>
      <c r="J114" s="103">
        <v>38</v>
      </c>
      <c r="K114" s="103">
        <v>44</v>
      </c>
      <c r="L114" s="113">
        <v>15.789473684210531</v>
      </c>
      <c r="M114" s="103">
        <v>566</v>
      </c>
      <c r="N114" s="155">
        <v>681</v>
      </c>
      <c r="O114" s="113">
        <v>20.318021201413416</v>
      </c>
      <c r="P114" s="113">
        <v>2.4759134702781309</v>
      </c>
      <c r="Q114" s="106">
        <v>138849</v>
      </c>
      <c r="R114" s="106">
        <v>20673</v>
      </c>
      <c r="S114" s="113">
        <v>-85.11116392627963</v>
      </c>
      <c r="T114" s="106">
        <v>840677</v>
      </c>
      <c r="U114" s="106">
        <v>770955</v>
      </c>
      <c r="V114" s="113">
        <v>-8.2935538857373263</v>
      </c>
      <c r="W114" s="113">
        <v>0.97594007788304493</v>
      </c>
      <c r="X114" s="96">
        <v>4431.8072377670005</v>
      </c>
      <c r="Y114" s="96">
        <v>5408.7120865179995</v>
      </c>
      <c r="Z114" s="113">
        <v>22.04303563625254</v>
      </c>
      <c r="AA114" s="96">
        <v>65296.136475086016</v>
      </c>
      <c r="AB114" s="96">
        <v>42089.568227821008</v>
      </c>
      <c r="AC114" s="113">
        <v>-35.540492133281973</v>
      </c>
      <c r="AD114" s="113">
        <v>1.1057619834519223</v>
      </c>
    </row>
    <row r="115" spans="1:30">
      <c r="A115" s="112"/>
      <c r="B115" s="94"/>
      <c r="C115" s="104"/>
      <c r="D115" s="104"/>
      <c r="E115" s="113"/>
      <c r="F115" s="104"/>
      <c r="G115" s="104"/>
      <c r="H115" s="113"/>
      <c r="I115" s="110"/>
      <c r="J115" s="103"/>
      <c r="K115" s="103"/>
      <c r="L115" s="113"/>
      <c r="M115" s="103"/>
      <c r="N115" s="103"/>
      <c r="O115" s="113"/>
      <c r="P115" s="113"/>
      <c r="Q115" s="103"/>
      <c r="R115" s="103"/>
      <c r="S115" s="113"/>
      <c r="T115" s="103"/>
      <c r="U115" s="103"/>
      <c r="V115" s="113"/>
      <c r="W115" s="113"/>
      <c r="X115" s="96"/>
      <c r="Y115" s="96"/>
      <c r="Z115" s="113"/>
      <c r="AA115" s="96"/>
      <c r="AB115" s="96"/>
      <c r="AC115" s="113"/>
      <c r="AD115" s="113"/>
    </row>
    <row r="116" spans="1:30" s="20" customFormat="1" ht="15">
      <c r="A116" s="109">
        <v>17</v>
      </c>
      <c r="B116" s="93" t="s">
        <v>19</v>
      </c>
      <c r="C116" s="101">
        <v>915.74574258599932</v>
      </c>
      <c r="D116" s="101">
        <v>996.39557444100319</v>
      </c>
      <c r="E116" s="110">
        <v>8.8070113902200209</v>
      </c>
      <c r="F116" s="101">
        <v>7882.5307175089993</v>
      </c>
      <c r="G116" s="101">
        <v>9085.7708393299999</v>
      </c>
      <c r="H116" s="110">
        <v>15.264642345742008</v>
      </c>
      <c r="I116" s="110">
        <v>2.9700594129358264</v>
      </c>
      <c r="J116" s="102">
        <v>78805</v>
      </c>
      <c r="K116" s="102">
        <v>76622</v>
      </c>
      <c r="L116" s="110">
        <v>-2.7701287989340795</v>
      </c>
      <c r="M116" s="101">
        <v>538596</v>
      </c>
      <c r="N116" s="101">
        <v>618334</v>
      </c>
      <c r="O116" s="110">
        <v>14.804788747038589</v>
      </c>
      <c r="P116" s="110">
        <v>2.9830984897609798</v>
      </c>
      <c r="Q116" s="102">
        <v>623699</v>
      </c>
      <c r="R116" s="102">
        <v>380070</v>
      </c>
      <c r="S116" s="110">
        <v>-39.061951357946697</v>
      </c>
      <c r="T116" s="102">
        <v>5814299</v>
      </c>
      <c r="U116" s="102">
        <v>4363288</v>
      </c>
      <c r="V116" s="110">
        <v>-24.955906120411075</v>
      </c>
      <c r="W116" s="110">
        <v>2.0375038846839395</v>
      </c>
      <c r="X116" s="101">
        <v>43543.740761900001</v>
      </c>
      <c r="Y116" s="101">
        <v>44825.407660695069</v>
      </c>
      <c r="Z116" s="110">
        <v>2.9434009948830608</v>
      </c>
      <c r="AA116" s="101">
        <v>394483.32433880004</v>
      </c>
      <c r="AB116" s="101">
        <v>442780.75403314998</v>
      </c>
      <c r="AC116" s="110">
        <v>12.243211997693958</v>
      </c>
      <c r="AD116" s="110">
        <v>5.2775447086893603</v>
      </c>
    </row>
    <row r="117" spans="1:30">
      <c r="A117" s="112"/>
      <c r="B117" s="94" t="s">
        <v>3</v>
      </c>
      <c r="C117" s="96">
        <v>179.66420759999997</v>
      </c>
      <c r="D117" s="96">
        <v>201.53812223600039</v>
      </c>
      <c r="E117" s="113">
        <v>12.174887212204212</v>
      </c>
      <c r="F117" s="96">
        <v>1752.9176848</v>
      </c>
      <c r="G117" s="96">
        <v>1969.3542107820001</v>
      </c>
      <c r="H117" s="113">
        <v>12.347215608512418</v>
      </c>
      <c r="I117" s="113">
        <v>4.96907156110926</v>
      </c>
      <c r="J117" s="103">
        <v>1114</v>
      </c>
      <c r="K117" s="103">
        <v>1392</v>
      </c>
      <c r="L117" s="113">
        <v>24.955116696588874</v>
      </c>
      <c r="M117" s="103">
        <v>9831</v>
      </c>
      <c r="N117" s="103">
        <v>12454</v>
      </c>
      <c r="O117" s="113">
        <v>26.680907333943637</v>
      </c>
      <c r="P117" s="113">
        <v>1.189883600835804</v>
      </c>
      <c r="Q117" s="103"/>
      <c r="R117" s="103"/>
      <c r="S117" s="113" t="s">
        <v>126</v>
      </c>
      <c r="T117" s="103"/>
      <c r="U117" s="103"/>
      <c r="V117" s="113" t="s">
        <v>126</v>
      </c>
      <c r="W117" s="113" t="s">
        <v>126</v>
      </c>
      <c r="X117" s="96">
        <v>199.69206929999996</v>
      </c>
      <c r="Y117" s="96">
        <v>199.05920166299714</v>
      </c>
      <c r="Z117" s="113">
        <v>-0.31692176821106477</v>
      </c>
      <c r="AA117" s="96">
        <v>2110.8080344999998</v>
      </c>
      <c r="AB117" s="96">
        <v>2082.3254924859993</v>
      </c>
      <c r="AC117" s="113">
        <v>-1.3493667613761584</v>
      </c>
      <c r="AD117" s="113">
        <v>6.616979311057392</v>
      </c>
    </row>
    <row r="118" spans="1:30">
      <c r="A118" s="112"/>
      <c r="B118" s="94" t="s">
        <v>4</v>
      </c>
      <c r="C118" s="96">
        <v>586.41649719999975</v>
      </c>
      <c r="D118" s="96">
        <v>667.7898040510031</v>
      </c>
      <c r="E118" s="113">
        <v>13.876367264485513</v>
      </c>
      <c r="F118" s="96">
        <v>4714.5592410999998</v>
      </c>
      <c r="G118" s="96">
        <v>5843.2956103180004</v>
      </c>
      <c r="H118" s="113">
        <v>23.941503574248092</v>
      </c>
      <c r="I118" s="113">
        <v>6.5646095092871848</v>
      </c>
      <c r="J118" s="103">
        <v>77672</v>
      </c>
      <c r="K118" s="103">
        <v>75202</v>
      </c>
      <c r="L118" s="113">
        <v>-3.180039138943247</v>
      </c>
      <c r="M118" s="103">
        <v>528353</v>
      </c>
      <c r="N118" s="103">
        <v>605533</v>
      </c>
      <c r="O118" s="113">
        <v>14.607658137646617</v>
      </c>
      <c r="P118" s="113">
        <v>3.0820540070626343</v>
      </c>
      <c r="Q118" s="103"/>
      <c r="R118" s="103"/>
      <c r="S118" s="113" t="s">
        <v>126</v>
      </c>
      <c r="T118" s="103"/>
      <c r="U118" s="103"/>
      <c r="V118" s="113" t="s">
        <v>126</v>
      </c>
      <c r="W118" s="113" t="s">
        <v>126</v>
      </c>
      <c r="X118" s="96">
        <v>28564.957296899986</v>
      </c>
      <c r="Y118" s="96">
        <v>33921.789321932076</v>
      </c>
      <c r="Z118" s="113">
        <v>18.753159577148892</v>
      </c>
      <c r="AA118" s="96">
        <v>220653.62256069999</v>
      </c>
      <c r="AB118" s="96">
        <v>291963.37097156397</v>
      </c>
      <c r="AC118" s="113">
        <v>32.317506317507785</v>
      </c>
      <c r="AD118" s="113">
        <v>11.020260149667505</v>
      </c>
    </row>
    <row r="119" spans="1:30">
      <c r="A119" s="112"/>
      <c r="B119" s="94" t="s">
        <v>5</v>
      </c>
      <c r="C119" s="96">
        <v>139.8983514479996</v>
      </c>
      <c r="D119" s="96">
        <v>122.41115463799977</v>
      </c>
      <c r="E119" s="113">
        <v>-12.499930577452044</v>
      </c>
      <c r="F119" s="96">
        <v>1252.5625744409997</v>
      </c>
      <c r="G119" s="96">
        <v>1166.7026406149996</v>
      </c>
      <c r="H119" s="113">
        <v>-6.8547420766038814</v>
      </c>
      <c r="I119" s="113">
        <v>0.71155413020368563</v>
      </c>
      <c r="J119" s="103">
        <v>4</v>
      </c>
      <c r="K119" s="103">
        <v>3</v>
      </c>
      <c r="L119" s="113">
        <v>-25</v>
      </c>
      <c r="M119" s="103">
        <v>64</v>
      </c>
      <c r="N119" s="103">
        <v>55</v>
      </c>
      <c r="O119" s="113">
        <v>-14.0625</v>
      </c>
      <c r="P119" s="113">
        <v>2.0400593471810091</v>
      </c>
      <c r="Q119" s="103">
        <v>603518</v>
      </c>
      <c r="R119" s="103">
        <v>350990</v>
      </c>
      <c r="S119" s="113">
        <v>-41.842662522078875</v>
      </c>
      <c r="T119" s="103">
        <v>4980061</v>
      </c>
      <c r="U119" s="103">
        <v>3853160</v>
      </c>
      <c r="V119" s="113">
        <v>-22.628256963117522</v>
      </c>
      <c r="W119" s="113">
        <v>3.032810936222603</v>
      </c>
      <c r="X119" s="96">
        <v>7740.495956099996</v>
      </c>
      <c r="Y119" s="96">
        <v>7259.3872160999999</v>
      </c>
      <c r="Z119" s="113">
        <v>-6.2154769245871382</v>
      </c>
      <c r="AA119" s="96">
        <v>58348.286022499997</v>
      </c>
      <c r="AB119" s="96">
        <v>71127.77831519999</v>
      </c>
      <c r="AC119" s="113">
        <v>21.902086871535566</v>
      </c>
      <c r="AD119" s="113">
        <v>3.9270053687584223</v>
      </c>
    </row>
    <row r="120" spans="1:30" s="22" customFormat="1">
      <c r="A120" s="112"/>
      <c r="B120" s="94" t="s">
        <v>6</v>
      </c>
      <c r="C120" s="96">
        <v>0</v>
      </c>
      <c r="D120" s="96">
        <v>0</v>
      </c>
      <c r="E120" s="113" t="s">
        <v>126</v>
      </c>
      <c r="F120" s="96">
        <v>0</v>
      </c>
      <c r="G120" s="96">
        <v>0</v>
      </c>
      <c r="H120" s="113" t="s">
        <v>126</v>
      </c>
      <c r="I120" s="113">
        <v>0</v>
      </c>
      <c r="J120" s="103">
        <v>0</v>
      </c>
      <c r="K120" s="103">
        <v>0</v>
      </c>
      <c r="L120" s="113" t="s">
        <v>126</v>
      </c>
      <c r="M120" s="103">
        <v>0</v>
      </c>
      <c r="N120" s="103">
        <v>0</v>
      </c>
      <c r="O120" s="113" t="s">
        <v>126</v>
      </c>
      <c r="P120" s="113">
        <v>0</v>
      </c>
      <c r="Q120" s="106">
        <v>0</v>
      </c>
      <c r="R120" s="106">
        <v>0</v>
      </c>
      <c r="S120" s="113" t="s">
        <v>126</v>
      </c>
      <c r="T120" s="106">
        <v>0</v>
      </c>
      <c r="U120" s="106">
        <v>0</v>
      </c>
      <c r="V120" s="113" t="s">
        <v>126</v>
      </c>
      <c r="W120" s="113">
        <v>0</v>
      </c>
      <c r="X120" s="96">
        <v>0</v>
      </c>
      <c r="Y120" s="96">
        <v>0</v>
      </c>
      <c r="Z120" s="113" t="s">
        <v>126</v>
      </c>
      <c r="AA120" s="96">
        <v>0</v>
      </c>
      <c r="AB120" s="96">
        <v>0</v>
      </c>
      <c r="AC120" s="113" t="s">
        <v>126</v>
      </c>
      <c r="AD120" s="113">
        <v>0</v>
      </c>
    </row>
    <row r="121" spans="1:30" s="22" customFormat="1">
      <c r="A121" s="112"/>
      <c r="B121" s="94" t="s">
        <v>25</v>
      </c>
      <c r="C121" s="96">
        <v>9.7666863380000013</v>
      </c>
      <c r="D121" s="96">
        <v>4.6564935160000003</v>
      </c>
      <c r="E121" s="113">
        <v>-52.322688014637862</v>
      </c>
      <c r="F121" s="96">
        <v>162.49121716799996</v>
      </c>
      <c r="G121" s="96">
        <v>106.418377615</v>
      </c>
      <c r="H121" s="113">
        <v>-34.508227909343645</v>
      </c>
      <c r="I121" s="113">
        <v>0.95420061733547146</v>
      </c>
      <c r="J121" s="103">
        <v>15</v>
      </c>
      <c r="K121" s="103">
        <v>25</v>
      </c>
      <c r="L121" s="113">
        <v>66.666666666666671</v>
      </c>
      <c r="M121" s="103">
        <v>348</v>
      </c>
      <c r="N121" s="103">
        <v>292</v>
      </c>
      <c r="O121" s="113">
        <v>-16.09195402298851</v>
      </c>
      <c r="P121" s="113">
        <v>1.0616251590619887</v>
      </c>
      <c r="Q121" s="106">
        <v>20181</v>
      </c>
      <c r="R121" s="106">
        <v>29080</v>
      </c>
      <c r="S121" s="113">
        <v>44.095931817055643</v>
      </c>
      <c r="T121" s="106">
        <v>834238</v>
      </c>
      <c r="U121" s="106">
        <v>510128</v>
      </c>
      <c r="V121" s="113">
        <v>-38.851023329073954</v>
      </c>
      <c r="W121" s="113">
        <v>0.645763189875313</v>
      </c>
      <c r="X121" s="96">
        <v>7038.5954396000152</v>
      </c>
      <c r="Y121" s="96">
        <v>3445.1719209999974</v>
      </c>
      <c r="Z121" s="113">
        <v>-51.053133390547913</v>
      </c>
      <c r="AA121" s="96">
        <v>113370.60772110001</v>
      </c>
      <c r="AB121" s="96">
        <v>77607.279253899993</v>
      </c>
      <c r="AC121" s="113">
        <v>-31.545503006546827</v>
      </c>
      <c r="AD121" s="113">
        <v>2.0388705004908139</v>
      </c>
    </row>
    <row r="122" spans="1:30" s="22" customFormat="1">
      <c r="A122" s="112"/>
      <c r="B122" s="94"/>
      <c r="C122" s="104"/>
      <c r="D122" s="104"/>
      <c r="E122" s="113"/>
      <c r="F122" s="104"/>
      <c r="G122" s="104"/>
      <c r="H122" s="113"/>
      <c r="I122" s="110"/>
      <c r="J122" s="103"/>
      <c r="K122" s="103"/>
      <c r="L122" s="113"/>
      <c r="M122" s="103"/>
      <c r="N122" s="103"/>
      <c r="O122" s="113"/>
      <c r="P122" s="113"/>
      <c r="Q122" s="103"/>
      <c r="R122" s="103"/>
      <c r="S122" s="113"/>
      <c r="T122" s="103"/>
      <c r="U122" s="103"/>
      <c r="V122" s="113"/>
      <c r="W122" s="113"/>
      <c r="X122" s="96"/>
      <c r="Y122" s="96"/>
      <c r="Z122" s="113"/>
      <c r="AA122" s="96"/>
      <c r="AB122" s="96"/>
      <c r="AC122" s="113"/>
      <c r="AD122" s="113"/>
    </row>
    <row r="123" spans="1:30" s="117" customFormat="1" ht="15">
      <c r="A123" s="109">
        <v>18</v>
      </c>
      <c r="B123" s="93" t="s">
        <v>21</v>
      </c>
      <c r="C123" s="101">
        <v>295.26194029999994</v>
      </c>
      <c r="D123" s="101">
        <v>367.22642230000002</v>
      </c>
      <c r="E123" s="110">
        <v>24.373097977640068</v>
      </c>
      <c r="F123" s="101">
        <v>2522.9150086449999</v>
      </c>
      <c r="G123" s="101">
        <v>3668.6036991460082</v>
      </c>
      <c r="H123" s="110">
        <v>45.411307419203609</v>
      </c>
      <c r="I123" s="110">
        <v>1.1992346209981322</v>
      </c>
      <c r="J123" s="102">
        <v>21708</v>
      </c>
      <c r="K123" s="102">
        <v>20020</v>
      </c>
      <c r="L123" s="110">
        <v>-7.7759351391192162</v>
      </c>
      <c r="M123" s="101">
        <v>217999</v>
      </c>
      <c r="N123" s="101">
        <v>239491</v>
      </c>
      <c r="O123" s="110">
        <v>9.8587608200037646</v>
      </c>
      <c r="P123" s="110">
        <v>1.1554034557558646</v>
      </c>
      <c r="Q123" s="102">
        <v>180724</v>
      </c>
      <c r="R123" s="102">
        <v>75824</v>
      </c>
      <c r="S123" s="110">
        <v>-58.044310661561283</v>
      </c>
      <c r="T123" s="102">
        <v>1327479</v>
      </c>
      <c r="U123" s="102">
        <v>888743</v>
      </c>
      <c r="V123" s="110">
        <v>-33.050315673543608</v>
      </c>
      <c r="W123" s="110">
        <v>0.41501209981684872</v>
      </c>
      <c r="X123" s="101">
        <v>20458.408530200002</v>
      </c>
      <c r="Y123" s="101">
        <v>9910.9128136999989</v>
      </c>
      <c r="Z123" s="110">
        <v>-51.555797709925244</v>
      </c>
      <c r="AA123" s="101">
        <v>112378.04040910001</v>
      </c>
      <c r="AB123" s="101">
        <v>109595.2899919</v>
      </c>
      <c r="AC123" s="110">
        <v>-2.4762403820797196</v>
      </c>
      <c r="AD123" s="110">
        <v>1.3062763851536439</v>
      </c>
    </row>
    <row r="124" spans="1:30" s="22" customFormat="1">
      <c r="A124" s="112"/>
      <c r="B124" s="94" t="s">
        <v>3</v>
      </c>
      <c r="C124" s="96">
        <v>7.4909221000000006</v>
      </c>
      <c r="D124" s="96">
        <v>101.02119130000001</v>
      </c>
      <c r="E124" s="113">
        <v>1248.581522426992</v>
      </c>
      <c r="F124" s="96">
        <v>66.329142996000002</v>
      </c>
      <c r="G124" s="96">
        <v>736.0977494</v>
      </c>
      <c r="H124" s="113">
        <v>1009.7652044809181</v>
      </c>
      <c r="I124" s="113">
        <v>1.8573207261113511</v>
      </c>
      <c r="J124" s="103">
        <v>121</v>
      </c>
      <c r="K124" s="103">
        <v>1926</v>
      </c>
      <c r="L124" s="113">
        <v>1491.7355371900828</v>
      </c>
      <c r="M124" s="103">
        <v>1136</v>
      </c>
      <c r="N124" s="103">
        <v>17303</v>
      </c>
      <c r="O124" s="113">
        <v>1423.1514084507041</v>
      </c>
      <c r="P124" s="113">
        <v>1.653168134355381</v>
      </c>
      <c r="Q124" s="103"/>
      <c r="R124" s="103"/>
      <c r="S124" s="113" t="s">
        <v>126</v>
      </c>
      <c r="T124" s="103"/>
      <c r="U124" s="103"/>
      <c r="V124" s="113" t="s">
        <v>126</v>
      </c>
      <c r="W124" s="113" t="s">
        <v>126</v>
      </c>
      <c r="X124" s="96">
        <v>5.4707628999999995</v>
      </c>
      <c r="Y124" s="96">
        <v>102.09334949999999</v>
      </c>
      <c r="Z124" s="113">
        <v>1766.1629349720126</v>
      </c>
      <c r="AA124" s="96">
        <v>47.285497599999999</v>
      </c>
      <c r="AB124" s="96">
        <v>1104.1093657000001</v>
      </c>
      <c r="AC124" s="113">
        <v>2234.9851894124936</v>
      </c>
      <c r="AD124" s="113">
        <v>3.5085143299376487</v>
      </c>
    </row>
    <row r="125" spans="1:30" s="22" customFormat="1">
      <c r="A125" s="112"/>
      <c r="B125" s="94" t="s">
        <v>4</v>
      </c>
      <c r="C125" s="96">
        <v>193.84940429999997</v>
      </c>
      <c r="D125" s="96">
        <v>201.82724150000001</v>
      </c>
      <c r="E125" s="113">
        <v>4.1154819272251064</v>
      </c>
      <c r="F125" s="96">
        <v>1701.1283919289997</v>
      </c>
      <c r="G125" s="96">
        <v>1758.4464254999998</v>
      </c>
      <c r="H125" s="113">
        <v>3.3694125524531549</v>
      </c>
      <c r="I125" s="113">
        <v>1.9755143152480596</v>
      </c>
      <c r="J125" s="103">
        <v>21584</v>
      </c>
      <c r="K125" s="103">
        <v>18091</v>
      </c>
      <c r="L125" s="113">
        <v>-16.183283914010381</v>
      </c>
      <c r="M125" s="103">
        <v>216830</v>
      </c>
      <c r="N125" s="103">
        <v>222108</v>
      </c>
      <c r="O125" s="113">
        <v>2.4341650140663251</v>
      </c>
      <c r="P125" s="113">
        <v>1.1304897526652842</v>
      </c>
      <c r="Q125" s="103"/>
      <c r="R125" s="103"/>
      <c r="S125" s="113" t="s">
        <v>126</v>
      </c>
      <c r="T125" s="103"/>
      <c r="U125" s="103"/>
      <c r="V125" s="113" t="s">
        <v>126</v>
      </c>
      <c r="W125" s="113" t="s">
        <v>126</v>
      </c>
      <c r="X125" s="96">
        <v>2707.8227719999995</v>
      </c>
      <c r="Y125" s="96">
        <v>2255.7400193999997</v>
      </c>
      <c r="Z125" s="113">
        <v>-16.695433588738574</v>
      </c>
      <c r="AA125" s="96">
        <v>27110.735161500001</v>
      </c>
      <c r="AB125" s="96">
        <v>23291.366415200002</v>
      </c>
      <c r="AC125" s="113">
        <v>-14.088030898269</v>
      </c>
      <c r="AD125" s="113">
        <v>0.87914081921506515</v>
      </c>
    </row>
    <row r="126" spans="1:30" s="119" customFormat="1">
      <c r="A126" s="118"/>
      <c r="B126" s="94" t="s">
        <v>5</v>
      </c>
      <c r="C126" s="96">
        <v>57.384610599999995</v>
      </c>
      <c r="D126" s="96">
        <v>58.070336700000006</v>
      </c>
      <c r="E126" s="113">
        <v>1.1949651532531469</v>
      </c>
      <c r="F126" s="96">
        <v>671.98892048100015</v>
      </c>
      <c r="G126" s="96">
        <v>1116.8557538340083</v>
      </c>
      <c r="H126" s="113">
        <v>66.201513119379825</v>
      </c>
      <c r="I126" s="113">
        <v>0.68115327489396138</v>
      </c>
      <c r="J126" s="103">
        <v>1</v>
      </c>
      <c r="K126" s="103">
        <v>3</v>
      </c>
      <c r="L126" s="113">
        <v>200</v>
      </c>
      <c r="M126" s="103">
        <v>24</v>
      </c>
      <c r="N126" s="103">
        <v>78</v>
      </c>
      <c r="O126" s="113">
        <v>225</v>
      </c>
      <c r="P126" s="113">
        <v>2.8931750741839761</v>
      </c>
      <c r="Q126" s="103">
        <v>67925</v>
      </c>
      <c r="R126" s="103">
        <v>39713</v>
      </c>
      <c r="S126" s="113">
        <v>-41.534044902465951</v>
      </c>
      <c r="T126" s="103">
        <v>850413</v>
      </c>
      <c r="U126" s="103">
        <v>516071</v>
      </c>
      <c r="V126" s="113">
        <v>-39.31525035482759</v>
      </c>
      <c r="W126" s="113">
        <v>0.40619797067013436</v>
      </c>
      <c r="X126" s="96">
        <v>2411.0063124999997</v>
      </c>
      <c r="Y126" s="96">
        <v>2248.5349999</v>
      </c>
      <c r="Z126" s="113">
        <v>-6.738734434566096</v>
      </c>
      <c r="AA126" s="96">
        <v>27206.452942999997</v>
      </c>
      <c r="AB126" s="96">
        <v>24349.4617894</v>
      </c>
      <c r="AC126" s="113">
        <v>-10.501152647813573</v>
      </c>
      <c r="AD126" s="113">
        <v>1.3443477279666107</v>
      </c>
    </row>
    <row r="127" spans="1:30" s="22" customFormat="1">
      <c r="A127" s="112"/>
      <c r="B127" s="94" t="s">
        <v>6</v>
      </c>
      <c r="C127" s="96">
        <v>3.0831499999999998E-2</v>
      </c>
      <c r="D127" s="96">
        <v>3.3473299999999998E-2</v>
      </c>
      <c r="E127" s="113">
        <v>8.5685094789419871</v>
      </c>
      <c r="F127" s="96">
        <v>0.21400199999999997</v>
      </c>
      <c r="G127" s="96">
        <v>0.37967779999999995</v>
      </c>
      <c r="H127" s="113">
        <v>77.417874599302806</v>
      </c>
      <c r="I127" s="113">
        <v>1.7661556411927314E-2</v>
      </c>
      <c r="J127" s="103">
        <v>0</v>
      </c>
      <c r="K127" s="103">
        <v>0</v>
      </c>
      <c r="L127" s="113" t="s">
        <v>126</v>
      </c>
      <c r="M127" s="103">
        <v>0</v>
      </c>
      <c r="N127" s="103">
        <v>0</v>
      </c>
      <c r="O127" s="113" t="s">
        <v>126</v>
      </c>
      <c r="P127" s="113">
        <v>0</v>
      </c>
      <c r="Q127" s="106">
        <v>135</v>
      </c>
      <c r="R127" s="106">
        <v>15</v>
      </c>
      <c r="S127" s="113">
        <v>-88.888888888888886</v>
      </c>
      <c r="T127" s="106">
        <v>216</v>
      </c>
      <c r="U127" s="106">
        <v>135</v>
      </c>
      <c r="V127" s="113">
        <v>-37.5</v>
      </c>
      <c r="W127" s="113">
        <v>1.6659628487816628E-3</v>
      </c>
      <c r="X127" s="96">
        <v>3.2532000000000005</v>
      </c>
      <c r="Y127" s="96">
        <v>5.2697000000000003</v>
      </c>
      <c r="Z127" s="113">
        <v>61.985122341079531</v>
      </c>
      <c r="AA127" s="96">
        <v>28.074418999999999</v>
      </c>
      <c r="AB127" s="96">
        <v>50.824170199999998</v>
      </c>
      <c r="AC127" s="113">
        <v>81.033738222685912</v>
      </c>
      <c r="AD127" s="113">
        <v>5.5566721548973047E-2</v>
      </c>
    </row>
    <row r="128" spans="1:30" s="22" customFormat="1">
      <c r="A128" s="112"/>
      <c r="B128" s="94" t="s">
        <v>25</v>
      </c>
      <c r="C128" s="96">
        <v>36.506171800000004</v>
      </c>
      <c r="D128" s="96">
        <v>6.2741794999999998</v>
      </c>
      <c r="E128" s="113">
        <v>-82.813373217073391</v>
      </c>
      <c r="F128" s="96">
        <v>83.254551238999994</v>
      </c>
      <c r="G128" s="96">
        <v>56.824092612000015</v>
      </c>
      <c r="H128" s="113">
        <v>-31.746563081128976</v>
      </c>
      <c r="I128" s="113">
        <v>0.50951335159478806</v>
      </c>
      <c r="J128" s="103">
        <v>2</v>
      </c>
      <c r="K128" s="103">
        <v>0</v>
      </c>
      <c r="L128" s="113">
        <v>-100</v>
      </c>
      <c r="M128" s="103">
        <v>9</v>
      </c>
      <c r="N128" s="103">
        <v>2</v>
      </c>
      <c r="O128" s="113">
        <v>-77.777777777777786</v>
      </c>
      <c r="P128" s="113">
        <v>7.271405199054717E-3</v>
      </c>
      <c r="Q128" s="106">
        <v>112664</v>
      </c>
      <c r="R128" s="106">
        <v>36096</v>
      </c>
      <c r="S128" s="113">
        <v>-67.961371866789747</v>
      </c>
      <c r="T128" s="106">
        <v>476850</v>
      </c>
      <c r="U128" s="106">
        <v>372537</v>
      </c>
      <c r="V128" s="113">
        <v>-21.875432525951556</v>
      </c>
      <c r="W128" s="113">
        <v>0.47158885900515063</v>
      </c>
      <c r="X128" s="96">
        <v>15330.855482800001</v>
      </c>
      <c r="Y128" s="96">
        <v>5299.274744899999</v>
      </c>
      <c r="Z128" s="113">
        <v>-65.43392669218386</v>
      </c>
      <c r="AA128" s="96">
        <v>57985.492388000006</v>
      </c>
      <c r="AB128" s="96">
        <v>60799.528251400006</v>
      </c>
      <c r="AC128" s="113">
        <v>4.8529998582582667</v>
      </c>
      <c r="AD128" s="113">
        <v>1.5973033172569033</v>
      </c>
    </row>
    <row r="129" spans="1:30" s="22" customFormat="1">
      <c r="A129" s="112"/>
      <c r="B129" s="114"/>
      <c r="C129" s="104"/>
      <c r="D129" s="104"/>
      <c r="E129" s="113"/>
      <c r="F129" s="104"/>
      <c r="G129" s="104"/>
      <c r="H129" s="113"/>
      <c r="I129" s="110"/>
      <c r="J129" s="103"/>
      <c r="K129" s="103"/>
      <c r="L129" s="113"/>
      <c r="M129" s="103"/>
      <c r="N129" s="103"/>
      <c r="O129" s="113"/>
      <c r="P129" s="113"/>
      <c r="Q129" s="103"/>
      <c r="R129" s="103"/>
      <c r="S129" s="113"/>
      <c r="T129" s="103"/>
      <c r="U129" s="103"/>
      <c r="V129" s="113"/>
      <c r="W129" s="113"/>
      <c r="X129" s="96"/>
      <c r="Y129" s="96"/>
      <c r="Z129" s="113"/>
      <c r="AA129" s="96"/>
      <c r="AB129" s="96"/>
      <c r="AC129" s="113"/>
      <c r="AD129" s="113"/>
    </row>
    <row r="130" spans="1:30" s="117" customFormat="1" ht="15">
      <c r="A130" s="109">
        <v>19</v>
      </c>
      <c r="B130" s="93" t="s">
        <v>57</v>
      </c>
      <c r="C130" s="101">
        <v>96.051747509999984</v>
      </c>
      <c r="D130" s="101">
        <v>118.82565819800001</v>
      </c>
      <c r="E130" s="110">
        <v>23.710043053229235</v>
      </c>
      <c r="F130" s="101">
        <v>851.77341913200007</v>
      </c>
      <c r="G130" s="101">
        <v>972.27422911299936</v>
      </c>
      <c r="H130" s="110">
        <v>14.147049822685908</v>
      </c>
      <c r="I130" s="110">
        <v>0.31782798368981674</v>
      </c>
      <c r="J130" s="102">
        <v>3336</v>
      </c>
      <c r="K130" s="102">
        <v>4234</v>
      </c>
      <c r="L130" s="110">
        <v>26.918465227817755</v>
      </c>
      <c r="M130" s="101">
        <v>28750</v>
      </c>
      <c r="N130" s="101">
        <v>37469</v>
      </c>
      <c r="O130" s="110">
        <v>30.326956521739135</v>
      </c>
      <c r="P130" s="110">
        <v>0.18076592474755415</v>
      </c>
      <c r="Q130" s="102">
        <v>447796</v>
      </c>
      <c r="R130" s="102">
        <v>375690</v>
      </c>
      <c r="S130" s="110">
        <v>-16.102421638424637</v>
      </c>
      <c r="T130" s="102">
        <v>3641779</v>
      </c>
      <c r="U130" s="102">
        <v>3439405</v>
      </c>
      <c r="V130" s="110">
        <v>-5.5570093627317902</v>
      </c>
      <c r="W130" s="110">
        <v>1.606082625877862</v>
      </c>
      <c r="X130" s="101">
        <v>11976.740115799999</v>
      </c>
      <c r="Y130" s="101">
        <v>16172.242293700001</v>
      </c>
      <c r="Z130" s="110">
        <v>35.030418438863805</v>
      </c>
      <c r="AA130" s="101">
        <v>71715.526378499999</v>
      </c>
      <c r="AB130" s="101">
        <v>90160.558962699986</v>
      </c>
      <c r="AC130" s="110">
        <v>25.719720004355608</v>
      </c>
      <c r="AD130" s="110">
        <v>1.0746320307554478</v>
      </c>
    </row>
    <row r="131" spans="1:30" s="22" customFormat="1">
      <c r="A131" s="112"/>
      <c r="B131" s="94" t="s">
        <v>3</v>
      </c>
      <c r="C131" s="96">
        <v>0.12234170000000001</v>
      </c>
      <c r="D131" s="96">
        <v>0.15689990000000001</v>
      </c>
      <c r="E131" s="113">
        <v>28.247277910965749</v>
      </c>
      <c r="F131" s="96">
        <v>1.1192622999999999</v>
      </c>
      <c r="G131" s="96">
        <v>2.6081994000000002</v>
      </c>
      <c r="H131" s="113">
        <v>133.02843310276779</v>
      </c>
      <c r="I131" s="113">
        <v>6.5810047747052519E-3</v>
      </c>
      <c r="J131" s="103">
        <v>7</v>
      </c>
      <c r="K131" s="103">
        <v>5</v>
      </c>
      <c r="L131" s="113">
        <v>-28.571428571428569</v>
      </c>
      <c r="M131" s="103">
        <v>44</v>
      </c>
      <c r="N131" s="103">
        <v>85</v>
      </c>
      <c r="O131" s="113">
        <v>93.181818181818187</v>
      </c>
      <c r="P131" s="113">
        <v>8.1210941120156838E-3</v>
      </c>
      <c r="Q131" s="103"/>
      <c r="R131" s="103"/>
      <c r="S131" s="113" t="s">
        <v>126</v>
      </c>
      <c r="T131" s="103"/>
      <c r="U131" s="103"/>
      <c r="V131" s="113" t="s">
        <v>126</v>
      </c>
      <c r="W131" s="113" t="s">
        <v>126</v>
      </c>
      <c r="X131" s="96">
        <v>0.28439759999999997</v>
      </c>
      <c r="Y131" s="96">
        <v>0.19462489999999999</v>
      </c>
      <c r="Z131" s="113">
        <v>-31.565913355105668</v>
      </c>
      <c r="AA131" s="96">
        <v>1.8550994000000001</v>
      </c>
      <c r="AB131" s="96">
        <v>3.1845683000000005</v>
      </c>
      <c r="AC131" s="113">
        <v>71.665642283103551</v>
      </c>
      <c r="AD131" s="113">
        <v>1.0119562302717617E-2</v>
      </c>
    </row>
    <row r="132" spans="1:30" s="22" customFormat="1">
      <c r="A132" s="112"/>
      <c r="B132" s="94" t="s">
        <v>4</v>
      </c>
      <c r="C132" s="96">
        <v>17.256325599999997</v>
      </c>
      <c r="D132" s="96">
        <v>20.930737100000002</v>
      </c>
      <c r="E132" s="113">
        <v>21.293128010982866</v>
      </c>
      <c r="F132" s="96">
        <v>140.70711560000001</v>
      </c>
      <c r="G132" s="96">
        <v>197.92307510000003</v>
      </c>
      <c r="H132" s="113">
        <v>40.663159966019521</v>
      </c>
      <c r="I132" s="113">
        <v>0.22235529186895145</v>
      </c>
      <c r="J132" s="103">
        <v>3312</v>
      </c>
      <c r="K132" s="103">
        <v>4194</v>
      </c>
      <c r="L132" s="113">
        <v>26.630434782608692</v>
      </c>
      <c r="M132" s="103">
        <v>28487</v>
      </c>
      <c r="N132" s="103">
        <v>37165</v>
      </c>
      <c r="O132" s="113">
        <v>30.463018218836659</v>
      </c>
      <c r="P132" s="113">
        <v>0.18916316232555913</v>
      </c>
      <c r="Q132" s="103"/>
      <c r="R132" s="103"/>
      <c r="S132" s="113" t="s">
        <v>126</v>
      </c>
      <c r="T132" s="103"/>
      <c r="U132" s="103"/>
      <c r="V132" s="113" t="s">
        <v>126</v>
      </c>
      <c r="W132" s="113" t="s">
        <v>126</v>
      </c>
      <c r="X132" s="96">
        <v>149.55822790000002</v>
      </c>
      <c r="Y132" s="96">
        <v>197.32409920000001</v>
      </c>
      <c r="Z132" s="113">
        <v>31.937976245571686</v>
      </c>
      <c r="AA132" s="96">
        <v>1272.8192282999998</v>
      </c>
      <c r="AB132" s="96">
        <v>1766.9231063000002</v>
      </c>
      <c r="AC132" s="113">
        <v>38.819642806617118</v>
      </c>
      <c r="AD132" s="113">
        <v>6.6693134248614713E-2</v>
      </c>
    </row>
    <row r="133" spans="1:30" s="22" customFormat="1">
      <c r="A133" s="112"/>
      <c r="B133" s="94" t="s">
        <v>5</v>
      </c>
      <c r="C133" s="96">
        <v>71.019212285999998</v>
      </c>
      <c r="D133" s="96">
        <v>64.706850091000021</v>
      </c>
      <c r="E133" s="113">
        <v>-8.8882458588523843</v>
      </c>
      <c r="F133" s="96">
        <v>659.6030579610001</v>
      </c>
      <c r="G133" s="96">
        <v>673.11248743199928</v>
      </c>
      <c r="H133" s="113">
        <v>2.048115045548804</v>
      </c>
      <c r="I133" s="113">
        <v>0.41052103068134416</v>
      </c>
      <c r="J133" s="103">
        <v>6</v>
      </c>
      <c r="K133" s="103">
        <v>8</v>
      </c>
      <c r="L133" s="113">
        <v>33.333333333333329</v>
      </c>
      <c r="M133" s="103">
        <v>51</v>
      </c>
      <c r="N133" s="103">
        <v>49</v>
      </c>
      <c r="O133" s="113">
        <v>-3.9215686274509776</v>
      </c>
      <c r="P133" s="113">
        <v>1.8175074183976261</v>
      </c>
      <c r="Q133" s="103">
        <v>437892</v>
      </c>
      <c r="R133" s="103">
        <v>359590</v>
      </c>
      <c r="S133" s="113">
        <v>-17.881578106017002</v>
      </c>
      <c r="T133" s="103">
        <v>3538417</v>
      </c>
      <c r="U133" s="103">
        <v>3356075</v>
      </c>
      <c r="V133" s="113">
        <v>-5.1532083414702061</v>
      </c>
      <c r="W133" s="113">
        <v>2.6415567904741231</v>
      </c>
      <c r="X133" s="96">
        <v>4183.5468714999997</v>
      </c>
      <c r="Y133" s="96">
        <v>3993.1457416000003</v>
      </c>
      <c r="Z133" s="113">
        <v>-4.5511891165147089</v>
      </c>
      <c r="AA133" s="96">
        <v>35625.440697799997</v>
      </c>
      <c r="AB133" s="96">
        <v>37134.830663399996</v>
      </c>
      <c r="AC133" s="113">
        <v>4.2368317023884883</v>
      </c>
      <c r="AD133" s="113">
        <v>2.050235264440182</v>
      </c>
    </row>
    <row r="134" spans="1:30" s="22" customFormat="1">
      <c r="A134" s="112"/>
      <c r="B134" s="94" t="s">
        <v>6</v>
      </c>
      <c r="C134" s="96">
        <v>0</v>
      </c>
      <c r="D134" s="96">
        <v>0</v>
      </c>
      <c r="E134" s="113" t="s">
        <v>126</v>
      </c>
      <c r="F134" s="96">
        <v>0</v>
      </c>
      <c r="G134" s="96">
        <v>0</v>
      </c>
      <c r="H134" s="113" t="s">
        <v>126</v>
      </c>
      <c r="I134" s="113">
        <v>0</v>
      </c>
      <c r="J134" s="103">
        <v>0</v>
      </c>
      <c r="K134" s="103">
        <v>0</v>
      </c>
      <c r="L134" s="113" t="s">
        <v>126</v>
      </c>
      <c r="M134" s="103">
        <v>0</v>
      </c>
      <c r="N134" s="103">
        <v>0</v>
      </c>
      <c r="O134" s="113" t="s">
        <v>126</v>
      </c>
      <c r="P134" s="113">
        <v>0</v>
      </c>
      <c r="Q134" s="106">
        <v>0</v>
      </c>
      <c r="R134" s="106">
        <v>0</v>
      </c>
      <c r="S134" s="113" t="s">
        <v>126</v>
      </c>
      <c r="T134" s="106">
        <v>0</v>
      </c>
      <c r="U134" s="106">
        <v>0</v>
      </c>
      <c r="V134" s="113" t="s">
        <v>126</v>
      </c>
      <c r="W134" s="113">
        <v>0</v>
      </c>
      <c r="X134" s="96">
        <v>0</v>
      </c>
      <c r="Y134" s="96">
        <v>0</v>
      </c>
      <c r="Z134" s="113" t="s">
        <v>126</v>
      </c>
      <c r="AA134" s="96">
        <v>0</v>
      </c>
      <c r="AB134" s="96">
        <v>0</v>
      </c>
      <c r="AC134" s="113" t="s">
        <v>126</v>
      </c>
      <c r="AD134" s="113">
        <v>0</v>
      </c>
    </row>
    <row r="135" spans="1:30" s="22" customFormat="1">
      <c r="A135" s="112"/>
      <c r="B135" s="114" t="s">
        <v>25</v>
      </c>
      <c r="C135" s="96">
        <v>7.6538679239999974</v>
      </c>
      <c r="D135" s="96">
        <v>33.031171106999999</v>
      </c>
      <c r="E135" s="113">
        <v>331.56181207968291</v>
      </c>
      <c r="F135" s="96">
        <v>50.3439832709999</v>
      </c>
      <c r="G135" s="96">
        <v>98.630467181000043</v>
      </c>
      <c r="H135" s="113">
        <v>95.913117661103001</v>
      </c>
      <c r="I135" s="113">
        <v>0.88437030127144733</v>
      </c>
      <c r="J135" s="103">
        <v>11</v>
      </c>
      <c r="K135" s="103">
        <v>27</v>
      </c>
      <c r="L135" s="113">
        <v>145.45454545454547</v>
      </c>
      <c r="M135" s="103">
        <v>168</v>
      </c>
      <c r="N135" s="103">
        <v>170</v>
      </c>
      <c r="O135" s="113">
        <v>1.1904761904761862</v>
      </c>
      <c r="P135" s="113">
        <v>0.61806944191965096</v>
      </c>
      <c r="Q135" s="106">
        <v>9904</v>
      </c>
      <c r="R135" s="106">
        <v>16100</v>
      </c>
      <c r="S135" s="113">
        <v>62.560581583198704</v>
      </c>
      <c r="T135" s="106">
        <v>103362</v>
      </c>
      <c r="U135" s="106">
        <v>83330</v>
      </c>
      <c r="V135" s="113">
        <v>-19.380429945240994</v>
      </c>
      <c r="W135" s="113">
        <v>0.10548616545712024</v>
      </c>
      <c r="X135" s="96">
        <v>7643.3506188000001</v>
      </c>
      <c r="Y135" s="96">
        <v>11981.577828000001</v>
      </c>
      <c r="Z135" s="113">
        <v>56.758186632567423</v>
      </c>
      <c r="AA135" s="96">
        <v>34815.411353000003</v>
      </c>
      <c r="AB135" s="96">
        <v>51255.620624699994</v>
      </c>
      <c r="AC135" s="113">
        <v>47.221068580835123</v>
      </c>
      <c r="AD135" s="113">
        <v>1.3465692120729482</v>
      </c>
    </row>
    <row r="136" spans="1:30" s="22" customFormat="1">
      <c r="A136" s="112"/>
      <c r="B136" s="114"/>
      <c r="C136" s="104"/>
      <c r="D136" s="104"/>
      <c r="E136" s="113"/>
      <c r="F136" s="104"/>
      <c r="G136" s="104"/>
      <c r="H136" s="113"/>
      <c r="I136" s="110"/>
      <c r="J136" s="103"/>
      <c r="K136" s="103"/>
      <c r="L136" s="113"/>
      <c r="M136" s="103"/>
      <c r="N136" s="103"/>
      <c r="O136" s="113"/>
      <c r="P136" s="113"/>
      <c r="Q136" s="103"/>
      <c r="R136" s="103"/>
      <c r="S136" s="113"/>
      <c r="T136" s="103"/>
      <c r="U136" s="103"/>
      <c r="V136" s="113"/>
      <c r="W136" s="113"/>
      <c r="X136" s="96"/>
      <c r="Y136" s="96"/>
      <c r="Z136" s="113"/>
      <c r="AA136" s="96"/>
      <c r="AB136" s="96"/>
      <c r="AC136" s="113"/>
      <c r="AD136" s="113"/>
    </row>
    <row r="137" spans="1:30" s="117" customFormat="1" ht="15">
      <c r="A137" s="109">
        <v>20</v>
      </c>
      <c r="B137" s="93" t="s">
        <v>40</v>
      </c>
      <c r="C137" s="101">
        <v>88.746411585999908</v>
      </c>
      <c r="D137" s="101">
        <v>94.922277149000024</v>
      </c>
      <c r="E137" s="110">
        <v>6.9590031333440328</v>
      </c>
      <c r="F137" s="101">
        <v>909.85009738999997</v>
      </c>
      <c r="G137" s="101">
        <v>906.93532825799991</v>
      </c>
      <c r="H137" s="110">
        <v>-0.3203570720453186</v>
      </c>
      <c r="I137" s="110">
        <v>0.29646926565180137</v>
      </c>
      <c r="J137" s="102">
        <v>13146</v>
      </c>
      <c r="K137" s="102">
        <v>12839</v>
      </c>
      <c r="L137" s="110">
        <v>-2.3353111212536137</v>
      </c>
      <c r="M137" s="101">
        <v>140046</v>
      </c>
      <c r="N137" s="101">
        <v>128187</v>
      </c>
      <c r="O137" s="110">
        <v>-8.4679319652114273</v>
      </c>
      <c r="P137" s="110">
        <v>0.61842700887706437</v>
      </c>
      <c r="Q137" s="102">
        <v>7925</v>
      </c>
      <c r="R137" s="102">
        <v>12531</v>
      </c>
      <c r="S137" s="110">
        <v>58.119873817034694</v>
      </c>
      <c r="T137" s="102">
        <v>229942</v>
      </c>
      <c r="U137" s="102">
        <v>250011</v>
      </c>
      <c r="V137" s="110">
        <v>8.727853110784455</v>
      </c>
      <c r="W137" s="110">
        <v>0.11674644985930711</v>
      </c>
      <c r="X137" s="101">
        <v>1438.6580664999994</v>
      </c>
      <c r="Y137" s="101">
        <v>1670.4723027999994</v>
      </c>
      <c r="Z137" s="110">
        <v>16.113226742193376</v>
      </c>
      <c r="AA137" s="101">
        <v>22273.5382512</v>
      </c>
      <c r="AB137" s="101">
        <v>24224.208832600001</v>
      </c>
      <c r="AC137" s="110">
        <v>8.7577939319762432</v>
      </c>
      <c r="AD137" s="110">
        <v>0.28873058275948188</v>
      </c>
    </row>
    <row r="138" spans="1:30" s="22" customFormat="1" ht="14.25" customHeight="1">
      <c r="A138" s="112"/>
      <c r="B138" s="94" t="s">
        <v>3</v>
      </c>
      <c r="C138" s="96">
        <v>2.2739677240000011</v>
      </c>
      <c r="D138" s="96">
        <v>3.5000819000000023</v>
      </c>
      <c r="E138" s="113">
        <v>53.919594506962333</v>
      </c>
      <c r="F138" s="96">
        <v>29.109794324000003</v>
      </c>
      <c r="G138" s="96">
        <v>29.982626600000003</v>
      </c>
      <c r="H138" s="113">
        <v>2.9984144384022082</v>
      </c>
      <c r="I138" s="113">
        <v>7.5652118013984943E-2</v>
      </c>
      <c r="J138" s="103">
        <v>67</v>
      </c>
      <c r="K138" s="103">
        <v>87</v>
      </c>
      <c r="L138" s="113">
        <v>29.850746268656714</v>
      </c>
      <c r="M138" s="103">
        <v>730</v>
      </c>
      <c r="N138" s="103">
        <v>802</v>
      </c>
      <c r="O138" s="113">
        <v>9.8630136986301409</v>
      </c>
      <c r="P138" s="113">
        <v>7.6624911503959753E-2</v>
      </c>
      <c r="Q138" s="103"/>
      <c r="R138" s="103"/>
      <c r="S138" s="113" t="s">
        <v>126</v>
      </c>
      <c r="T138" s="103"/>
      <c r="U138" s="103"/>
      <c r="V138" s="113" t="s">
        <v>126</v>
      </c>
      <c r="W138" s="113" t="s">
        <v>126</v>
      </c>
      <c r="X138" s="96">
        <v>2.4634037999999996</v>
      </c>
      <c r="Y138" s="96">
        <v>2.2392560000000001</v>
      </c>
      <c r="Z138" s="113">
        <v>-9.0991091269729925</v>
      </c>
      <c r="AA138" s="96">
        <v>19.051720700000001</v>
      </c>
      <c r="AB138" s="96">
        <v>27.510581600000002</v>
      </c>
      <c r="AC138" s="113">
        <v>44.399458889820906</v>
      </c>
      <c r="AD138" s="113">
        <v>8.7420026282745089E-2</v>
      </c>
    </row>
    <row r="139" spans="1:30" s="22" customFormat="1">
      <c r="A139" s="112"/>
      <c r="B139" s="94" t="s">
        <v>4</v>
      </c>
      <c r="C139" s="96">
        <v>83.915849682999919</v>
      </c>
      <c r="D139" s="96">
        <v>87.354750110000026</v>
      </c>
      <c r="E139" s="113">
        <v>4.0980344475934904</v>
      </c>
      <c r="F139" s="96">
        <v>819.183282319</v>
      </c>
      <c r="G139" s="96">
        <v>800.07237384999996</v>
      </c>
      <c r="H139" s="113">
        <v>-2.3329221776718367</v>
      </c>
      <c r="I139" s="113">
        <v>0.89883570227381504</v>
      </c>
      <c r="J139" s="103">
        <v>13065</v>
      </c>
      <c r="K139" s="103">
        <v>12738</v>
      </c>
      <c r="L139" s="113">
        <v>-2.5028702640642941</v>
      </c>
      <c r="M139" s="103">
        <v>139216</v>
      </c>
      <c r="N139" s="103">
        <v>127267</v>
      </c>
      <c r="O139" s="113">
        <v>-8.5830651649235747</v>
      </c>
      <c r="P139" s="113">
        <v>0.64776612887627971</v>
      </c>
      <c r="Q139" s="103"/>
      <c r="R139" s="103"/>
      <c r="S139" s="113" t="s">
        <v>126</v>
      </c>
      <c r="T139" s="103"/>
      <c r="U139" s="103"/>
      <c r="V139" s="113" t="s">
        <v>126</v>
      </c>
      <c r="W139" s="113" t="s">
        <v>126</v>
      </c>
      <c r="X139" s="96">
        <v>1073.3839120999996</v>
      </c>
      <c r="Y139" s="96">
        <v>1103.9429092999992</v>
      </c>
      <c r="Z139" s="113">
        <v>2.8469773820452682</v>
      </c>
      <c r="AA139" s="96">
        <v>11102.516316899999</v>
      </c>
      <c r="AB139" s="96">
        <v>10934.681226599998</v>
      </c>
      <c r="AC139" s="113">
        <v>-1.511685148748898</v>
      </c>
      <c r="AD139" s="113">
        <v>0.41273338970508688</v>
      </c>
    </row>
    <row r="140" spans="1:30" s="22" customFormat="1">
      <c r="A140" s="112"/>
      <c r="B140" s="94" t="s">
        <v>5</v>
      </c>
      <c r="C140" s="96">
        <v>0</v>
      </c>
      <c r="D140" s="96">
        <v>0</v>
      </c>
      <c r="E140" s="113" t="s">
        <v>126</v>
      </c>
      <c r="F140" s="96">
        <v>0</v>
      </c>
      <c r="G140" s="96">
        <v>0</v>
      </c>
      <c r="H140" s="113" t="s">
        <v>126</v>
      </c>
      <c r="I140" s="113">
        <v>0</v>
      </c>
      <c r="J140" s="103">
        <v>0</v>
      </c>
      <c r="K140" s="103">
        <v>0</v>
      </c>
      <c r="L140" s="113" t="s">
        <v>126</v>
      </c>
      <c r="M140" s="103">
        <v>0</v>
      </c>
      <c r="N140" s="103">
        <v>0</v>
      </c>
      <c r="O140" s="113" t="s">
        <v>126</v>
      </c>
      <c r="P140" s="113">
        <v>0</v>
      </c>
      <c r="Q140" s="103">
        <v>0</v>
      </c>
      <c r="R140" s="103">
        <v>0</v>
      </c>
      <c r="S140" s="113" t="s">
        <v>126</v>
      </c>
      <c r="T140" s="103">
        <v>0</v>
      </c>
      <c r="U140" s="103">
        <v>0</v>
      </c>
      <c r="V140" s="113" t="s">
        <v>126</v>
      </c>
      <c r="W140" s="113">
        <v>0</v>
      </c>
      <c r="X140" s="96">
        <v>0</v>
      </c>
      <c r="Y140" s="96">
        <v>0</v>
      </c>
      <c r="Z140" s="113" t="s">
        <v>126</v>
      </c>
      <c r="AA140" s="96">
        <v>0</v>
      </c>
      <c r="AB140" s="96">
        <v>0</v>
      </c>
      <c r="AC140" s="113" t="s">
        <v>126</v>
      </c>
      <c r="AD140" s="113">
        <v>0</v>
      </c>
    </row>
    <row r="141" spans="1:30" s="22" customFormat="1">
      <c r="A141" s="112"/>
      <c r="B141" s="94" t="s">
        <v>6</v>
      </c>
      <c r="C141" s="96">
        <v>2.1283562999999996</v>
      </c>
      <c r="D141" s="96">
        <v>3.2673006</v>
      </c>
      <c r="E141" s="113">
        <v>53.51285872576883</v>
      </c>
      <c r="F141" s="96">
        <v>49.371237239000003</v>
      </c>
      <c r="G141" s="96">
        <v>50.155210496999992</v>
      </c>
      <c r="H141" s="113">
        <v>1.58791495178634</v>
      </c>
      <c r="I141" s="113">
        <v>2.3330810480487782</v>
      </c>
      <c r="J141" s="103">
        <v>6</v>
      </c>
      <c r="K141" s="103">
        <v>5</v>
      </c>
      <c r="L141" s="113">
        <v>-16.666666666666664</v>
      </c>
      <c r="M141" s="103">
        <v>46</v>
      </c>
      <c r="N141" s="103">
        <v>64</v>
      </c>
      <c r="O141" s="113">
        <v>39.130434782608688</v>
      </c>
      <c r="P141" s="113">
        <v>1.6028049085900324</v>
      </c>
      <c r="Q141" s="106">
        <v>2895</v>
      </c>
      <c r="R141" s="106">
        <v>5495</v>
      </c>
      <c r="S141" s="113">
        <v>89.810017271157164</v>
      </c>
      <c r="T141" s="106">
        <v>37999</v>
      </c>
      <c r="U141" s="106">
        <v>46306</v>
      </c>
      <c r="V141" s="113">
        <v>21.861101607937062</v>
      </c>
      <c r="W141" s="113">
        <v>0.57143759759765689</v>
      </c>
      <c r="X141" s="96">
        <v>1.4450000000000001</v>
      </c>
      <c r="Y141" s="96">
        <v>5.4254999999999995</v>
      </c>
      <c r="Z141" s="113">
        <v>275.46712802768161</v>
      </c>
      <c r="AA141" s="96">
        <v>36.0026832</v>
      </c>
      <c r="AB141" s="96">
        <v>36.154136900000005</v>
      </c>
      <c r="AC141" s="113">
        <v>0.42067336803386368</v>
      </c>
      <c r="AD141" s="113">
        <v>3.9527784714638629E-2</v>
      </c>
    </row>
    <row r="142" spans="1:30" s="22" customFormat="1">
      <c r="A142" s="112"/>
      <c r="B142" s="94" t="s">
        <v>25</v>
      </c>
      <c r="C142" s="96">
        <v>0.42823787899999999</v>
      </c>
      <c r="D142" s="96">
        <v>0.80014453899999982</v>
      </c>
      <c r="E142" s="113">
        <v>86.845811227268825</v>
      </c>
      <c r="F142" s="96">
        <v>12.185783508000007</v>
      </c>
      <c r="G142" s="96">
        <v>26.725117310999998</v>
      </c>
      <c r="H142" s="113">
        <v>119.31390208479309</v>
      </c>
      <c r="I142" s="113">
        <v>0.2396308232472493</v>
      </c>
      <c r="J142" s="103">
        <v>8</v>
      </c>
      <c r="K142" s="103">
        <v>9</v>
      </c>
      <c r="L142" s="113">
        <v>12.5</v>
      </c>
      <c r="M142" s="103">
        <v>54</v>
      </c>
      <c r="N142" s="103">
        <v>54</v>
      </c>
      <c r="O142" s="113">
        <v>0</v>
      </c>
      <c r="P142" s="113">
        <v>0.19632794037447737</v>
      </c>
      <c r="Q142" s="106">
        <v>5030</v>
      </c>
      <c r="R142" s="106">
        <v>7036</v>
      </c>
      <c r="S142" s="113">
        <v>39.880715705765411</v>
      </c>
      <c r="T142" s="106">
        <v>191943</v>
      </c>
      <c r="U142" s="106">
        <v>203705</v>
      </c>
      <c r="V142" s="113">
        <v>6.1278608753640329</v>
      </c>
      <c r="W142" s="113">
        <v>0.25786702669437989</v>
      </c>
      <c r="X142" s="96">
        <v>361.36575060000001</v>
      </c>
      <c r="Y142" s="96">
        <v>558.86463750000007</v>
      </c>
      <c r="Z142" s="113">
        <v>54.653460260713494</v>
      </c>
      <c r="AA142" s="96">
        <v>11115.967530400001</v>
      </c>
      <c r="AB142" s="96">
        <v>13225.862887500001</v>
      </c>
      <c r="AC142" s="113">
        <v>18.980762145353957</v>
      </c>
      <c r="AD142" s="113">
        <v>0.34746510822314258</v>
      </c>
    </row>
    <row r="143" spans="1:30" s="22" customFormat="1">
      <c r="A143" s="112"/>
      <c r="B143" s="94"/>
      <c r="C143" s="104"/>
      <c r="D143" s="104"/>
      <c r="E143" s="113"/>
      <c r="F143" s="104"/>
      <c r="G143" s="104"/>
      <c r="H143" s="113"/>
      <c r="I143" s="110"/>
      <c r="J143" s="103"/>
      <c r="K143" s="103"/>
      <c r="L143" s="113"/>
      <c r="M143" s="103"/>
      <c r="N143" s="103"/>
      <c r="O143" s="113"/>
      <c r="P143" s="113"/>
      <c r="Q143" s="103"/>
      <c r="R143" s="103"/>
      <c r="S143" s="113"/>
      <c r="T143" s="103"/>
      <c r="U143" s="103"/>
      <c r="V143" s="113"/>
      <c r="W143" s="113"/>
      <c r="X143" s="96"/>
      <c r="Y143" s="96"/>
      <c r="Z143" s="113"/>
      <c r="AA143" s="96"/>
      <c r="AB143" s="96"/>
      <c r="AC143" s="113"/>
      <c r="AD143" s="113"/>
    </row>
    <row r="144" spans="1:30" s="117" customFormat="1" ht="15">
      <c r="A144" s="124">
        <v>21</v>
      </c>
      <c r="B144" s="93" t="s">
        <v>7</v>
      </c>
      <c r="C144" s="101">
        <v>5218.8552444160123</v>
      </c>
      <c r="D144" s="101">
        <v>3275.2592578940121</v>
      </c>
      <c r="E144" s="110">
        <v>-37.241806785148491</v>
      </c>
      <c r="F144" s="101">
        <v>31218.853888428006</v>
      </c>
      <c r="G144" s="101">
        <v>29530.79490250098</v>
      </c>
      <c r="H144" s="110">
        <v>-5.407177957140652</v>
      </c>
      <c r="I144" s="110">
        <v>9.653359843942324</v>
      </c>
      <c r="J144" s="102">
        <v>189174</v>
      </c>
      <c r="K144" s="102">
        <v>191790</v>
      </c>
      <c r="L144" s="110">
        <v>1.3828538805544133</v>
      </c>
      <c r="M144" s="101">
        <v>1831548</v>
      </c>
      <c r="N144" s="101">
        <v>1779507</v>
      </c>
      <c r="O144" s="110">
        <v>-2.8413669748213022</v>
      </c>
      <c r="P144" s="110">
        <v>8.5850764218352733</v>
      </c>
      <c r="Q144" s="102"/>
      <c r="R144" s="102">
        <v>2483885</v>
      </c>
      <c r="S144" s="110" t="s">
        <v>126</v>
      </c>
      <c r="T144" s="102">
        <v>27677538</v>
      </c>
      <c r="U144" s="102">
        <v>19325671</v>
      </c>
      <c r="V144" s="110">
        <v>-30.175613885888264</v>
      </c>
      <c r="W144" s="110">
        <v>9.0244168472545816</v>
      </c>
      <c r="X144" s="101">
        <v>78563.199890999997</v>
      </c>
      <c r="Y144" s="101">
        <v>93331.865346000006</v>
      </c>
      <c r="Z144" s="110">
        <v>18.798452043056191</v>
      </c>
      <c r="AA144" s="101">
        <v>635861.24857199995</v>
      </c>
      <c r="AB144" s="101">
        <v>735018.32230499992</v>
      </c>
      <c r="AC144" s="110">
        <v>15.594136921487856</v>
      </c>
      <c r="AD144" s="110">
        <v>8.7607512800343255</v>
      </c>
    </row>
    <row r="145" spans="1:30" s="22" customFormat="1">
      <c r="A145" s="125"/>
      <c r="B145" s="95" t="s">
        <v>3</v>
      </c>
      <c r="C145" s="96">
        <v>610.49192418900191</v>
      </c>
      <c r="D145" s="96">
        <v>704.43428473300287</v>
      </c>
      <c r="E145" s="113">
        <v>15.387977599998104</v>
      </c>
      <c r="F145" s="96">
        <v>6140.1615027930002</v>
      </c>
      <c r="G145" s="96">
        <v>6598.7246831190023</v>
      </c>
      <c r="H145" s="113">
        <v>7.4682592651254209</v>
      </c>
      <c r="I145" s="113">
        <v>16.64989212349775</v>
      </c>
      <c r="J145" s="103">
        <v>7654</v>
      </c>
      <c r="K145" s="103">
        <v>9282</v>
      </c>
      <c r="L145" s="113">
        <v>21.269924222628699</v>
      </c>
      <c r="M145" s="103">
        <v>74447</v>
      </c>
      <c r="N145" s="103">
        <v>89202</v>
      </c>
      <c r="O145" s="113">
        <v>19.81946888390398</v>
      </c>
      <c r="P145" s="113">
        <v>8.5225627880002701</v>
      </c>
      <c r="Q145" s="103"/>
      <c r="R145" s="103"/>
      <c r="S145" s="113" t="s">
        <v>126</v>
      </c>
      <c r="T145" s="103"/>
      <c r="U145" s="103"/>
      <c r="V145" s="113" t="s">
        <v>126</v>
      </c>
      <c r="W145" s="113" t="s">
        <v>126</v>
      </c>
      <c r="X145" s="96">
        <v>262.76906299999996</v>
      </c>
      <c r="Y145" s="96">
        <v>334.010625</v>
      </c>
      <c r="Z145" s="113">
        <v>27.111852965735196</v>
      </c>
      <c r="AA145" s="96">
        <v>2726.1932879999995</v>
      </c>
      <c r="AB145" s="96">
        <v>3838.6075729999998</v>
      </c>
      <c r="AC145" s="113">
        <v>40.804674044814114</v>
      </c>
      <c r="AD145" s="113">
        <v>12.197894606517671</v>
      </c>
    </row>
    <row r="146" spans="1:30" s="22" customFormat="1">
      <c r="A146" s="125"/>
      <c r="B146" s="95" t="s">
        <v>4</v>
      </c>
      <c r="C146" s="96">
        <v>1570.7405027130062</v>
      </c>
      <c r="D146" s="96">
        <v>1861.3451209580082</v>
      </c>
      <c r="E146" s="113">
        <v>18.50112209770267</v>
      </c>
      <c r="F146" s="96">
        <v>13802.617249302</v>
      </c>
      <c r="G146" s="96">
        <v>15824.364738356979</v>
      </c>
      <c r="H146" s="113">
        <v>14.64756612849798</v>
      </c>
      <c r="I146" s="113">
        <v>17.777771683571164</v>
      </c>
      <c r="J146" s="103">
        <v>181499</v>
      </c>
      <c r="K146" s="103">
        <v>182443</v>
      </c>
      <c r="L146" s="113">
        <v>0.52011305847414757</v>
      </c>
      <c r="M146" s="103">
        <v>1756693</v>
      </c>
      <c r="N146" s="103">
        <v>1689832</v>
      </c>
      <c r="O146" s="113">
        <v>-3.8060719772891494</v>
      </c>
      <c r="P146" s="113">
        <v>8.600940802338874</v>
      </c>
      <c r="Q146" s="103"/>
      <c r="R146" s="103"/>
      <c r="S146" s="113" t="s">
        <v>126</v>
      </c>
      <c r="T146" s="103"/>
      <c r="U146" s="103"/>
      <c r="V146" s="113" t="s">
        <v>126</v>
      </c>
      <c r="W146" s="113" t="s">
        <v>126</v>
      </c>
      <c r="X146" s="96">
        <v>17072.97479</v>
      </c>
      <c r="Y146" s="96">
        <v>27339.501212999996</v>
      </c>
      <c r="Z146" s="113">
        <v>60.133202029990194</v>
      </c>
      <c r="AA146" s="96">
        <v>151520.752274</v>
      </c>
      <c r="AB146" s="96">
        <v>205324.19361299998</v>
      </c>
      <c r="AC146" s="113">
        <v>35.508958694783566</v>
      </c>
      <c r="AD146" s="113">
        <v>7.7500339207151425</v>
      </c>
    </row>
    <row r="147" spans="1:30" s="22" customFormat="1">
      <c r="A147" s="125"/>
      <c r="B147" s="95" t="s">
        <v>5</v>
      </c>
      <c r="C147" s="96">
        <v>2956.719148679003</v>
      </c>
      <c r="D147" s="96">
        <v>646.62179097300077</v>
      </c>
      <c r="E147" s="113">
        <v>-78.130429085160245</v>
      </c>
      <c r="F147" s="96">
        <v>10480.056447910005</v>
      </c>
      <c r="G147" s="96">
        <v>6495.0134512880004</v>
      </c>
      <c r="H147" s="113">
        <v>-38.02501462114477</v>
      </c>
      <c r="I147" s="113">
        <v>3.9612095542668264</v>
      </c>
      <c r="J147" s="103">
        <v>12</v>
      </c>
      <c r="K147" s="103">
        <v>33</v>
      </c>
      <c r="L147" s="113">
        <v>175</v>
      </c>
      <c r="M147" s="103">
        <v>215</v>
      </c>
      <c r="N147" s="103">
        <v>275</v>
      </c>
      <c r="O147" s="113">
        <v>27.906976744186053</v>
      </c>
      <c r="P147" s="113">
        <v>10.200296735905043</v>
      </c>
      <c r="Q147" s="103">
        <v>170983</v>
      </c>
      <c r="R147" s="103">
        <v>52441</v>
      </c>
      <c r="S147" s="113">
        <v>-69.329699443804358</v>
      </c>
      <c r="T147" s="103">
        <v>882523</v>
      </c>
      <c r="U147" s="103">
        <v>960836</v>
      </c>
      <c r="V147" s="113">
        <v>8.8737630633989095</v>
      </c>
      <c r="W147" s="113">
        <v>0.75627119785225139</v>
      </c>
      <c r="X147" s="96">
        <v>6456.1363380000003</v>
      </c>
      <c r="Y147" s="96">
        <v>8423.1748079999998</v>
      </c>
      <c r="Z147" s="113">
        <v>30.467734369583567</v>
      </c>
      <c r="AA147" s="96">
        <v>64504.320054999997</v>
      </c>
      <c r="AB147" s="96">
        <v>69621.643318999995</v>
      </c>
      <c r="AC147" s="113">
        <v>7.9333031642480512</v>
      </c>
      <c r="AD147" s="113">
        <v>3.8438507932008674</v>
      </c>
    </row>
    <row r="148" spans="1:30" s="22" customFormat="1">
      <c r="A148" s="125"/>
      <c r="B148" s="95" t="s">
        <v>6</v>
      </c>
      <c r="C148" s="96">
        <v>1.8708476189999996</v>
      </c>
      <c r="D148" s="96">
        <v>2.9356625430000007</v>
      </c>
      <c r="E148" s="113">
        <v>56.91617602555803</v>
      </c>
      <c r="F148" s="96">
        <v>23.091664898000005</v>
      </c>
      <c r="G148" s="96">
        <v>13.830757424999996</v>
      </c>
      <c r="H148" s="113">
        <v>-40.104979497611303</v>
      </c>
      <c r="I148" s="113">
        <v>0.6433684099552831</v>
      </c>
      <c r="J148" s="103">
        <v>0</v>
      </c>
      <c r="K148" s="103">
        <v>0</v>
      </c>
      <c r="L148" s="113" t="s">
        <v>126</v>
      </c>
      <c r="M148" s="103">
        <v>0</v>
      </c>
      <c r="N148" s="103">
        <v>0</v>
      </c>
      <c r="O148" s="113" t="s">
        <v>126</v>
      </c>
      <c r="P148" s="113">
        <v>0</v>
      </c>
      <c r="Q148" s="106">
        <v>3430</v>
      </c>
      <c r="R148" s="106">
        <v>5197</v>
      </c>
      <c r="S148" s="113">
        <v>51.516034985422742</v>
      </c>
      <c r="T148" s="106">
        <v>37248</v>
      </c>
      <c r="U148" s="106">
        <v>19751</v>
      </c>
      <c r="V148" s="113">
        <v>-46.974334192439862</v>
      </c>
      <c r="W148" s="113">
        <v>0.24373653500953055</v>
      </c>
      <c r="X148" s="96">
        <v>0.34299999999999997</v>
      </c>
      <c r="Y148" s="96">
        <v>0.51969999999999994</v>
      </c>
      <c r="Z148" s="113">
        <v>51.516034985422742</v>
      </c>
      <c r="AA148" s="96">
        <v>7.2905550000000003</v>
      </c>
      <c r="AB148" s="96">
        <v>5.0383000000000004</v>
      </c>
      <c r="AC148" s="113">
        <v>-30.892778396157759</v>
      </c>
      <c r="AD148" s="113">
        <v>5.5084384472683622E-3</v>
      </c>
    </row>
    <row r="149" spans="1:30" s="22" customFormat="1">
      <c r="A149" s="125"/>
      <c r="B149" s="94" t="s">
        <v>25</v>
      </c>
      <c r="C149" s="96">
        <v>79.032821215999874</v>
      </c>
      <c r="D149" s="96">
        <v>59.922398687000012</v>
      </c>
      <c r="E149" s="113">
        <v>-24.18036232917753</v>
      </c>
      <c r="F149" s="96">
        <v>772.92702352499998</v>
      </c>
      <c r="G149" s="96">
        <v>598.86127231199998</v>
      </c>
      <c r="H149" s="113">
        <v>-22.520334509609739</v>
      </c>
      <c r="I149" s="113">
        <v>5.369690917538203</v>
      </c>
      <c r="J149" s="103">
        <v>9</v>
      </c>
      <c r="K149" s="103">
        <v>32</v>
      </c>
      <c r="L149" s="113">
        <v>255.55555555555554</v>
      </c>
      <c r="M149" s="103">
        <v>193</v>
      </c>
      <c r="N149" s="103">
        <v>198</v>
      </c>
      <c r="O149" s="113">
        <v>2.5906735751295429</v>
      </c>
      <c r="P149" s="113">
        <v>0.71986911470641701</v>
      </c>
      <c r="Q149" s="106">
        <v>3339171</v>
      </c>
      <c r="R149" s="106">
        <v>2426247</v>
      </c>
      <c r="S149" s="113">
        <v>-27.339839738665674</v>
      </c>
      <c r="T149" s="106">
        <v>26757767</v>
      </c>
      <c r="U149" s="106">
        <v>18345084</v>
      </c>
      <c r="V149" s="113">
        <v>-31.440153432833164</v>
      </c>
      <c r="W149" s="113">
        <v>23.222759704173399</v>
      </c>
      <c r="X149" s="96">
        <v>54770.976699999999</v>
      </c>
      <c r="Y149" s="96">
        <v>57234.659000000007</v>
      </c>
      <c r="Z149" s="113">
        <v>4.498152942377609</v>
      </c>
      <c r="AA149" s="96">
        <v>417102.69239999994</v>
      </c>
      <c r="AB149" s="96">
        <v>456228.83949999994</v>
      </c>
      <c r="AC149" s="113">
        <v>9.3804590123523379</v>
      </c>
      <c r="AD149" s="113">
        <v>11.985879820454642</v>
      </c>
    </row>
    <row r="150" spans="1:30" s="22" customFormat="1">
      <c r="A150" s="125"/>
      <c r="B150" s="94"/>
      <c r="C150" s="104"/>
      <c r="D150" s="104"/>
      <c r="E150" s="113"/>
      <c r="F150" s="104"/>
      <c r="G150" s="104"/>
      <c r="H150" s="113"/>
      <c r="I150" s="110"/>
      <c r="J150" s="103"/>
      <c r="K150" s="103"/>
      <c r="L150" s="113"/>
      <c r="M150" s="103"/>
      <c r="N150" s="103"/>
      <c r="O150" s="113"/>
      <c r="P150" s="113"/>
      <c r="Q150" s="103"/>
      <c r="R150" s="103"/>
      <c r="S150" s="113"/>
      <c r="T150" s="103"/>
      <c r="U150" s="103"/>
      <c r="V150" s="113"/>
      <c r="W150" s="113"/>
      <c r="X150" s="96"/>
      <c r="Y150" s="96"/>
      <c r="Z150" s="113"/>
      <c r="AA150" s="96"/>
      <c r="AB150" s="96"/>
      <c r="AC150" s="113"/>
      <c r="AD150" s="113"/>
    </row>
    <row r="151" spans="1:30" s="117" customFormat="1" ht="15">
      <c r="A151" s="124">
        <v>22</v>
      </c>
      <c r="B151" s="93" t="s">
        <v>13</v>
      </c>
      <c r="C151" s="101">
        <v>140.91358913951535</v>
      </c>
      <c r="D151" s="101">
        <v>181.76413934325996</v>
      </c>
      <c r="E151" s="110">
        <v>28.989787608985964</v>
      </c>
      <c r="F151" s="101">
        <v>1415.6159021590756</v>
      </c>
      <c r="G151" s="101">
        <v>1754.5769609633307</v>
      </c>
      <c r="H151" s="110">
        <v>23.944422938967904</v>
      </c>
      <c r="I151" s="110">
        <v>0.57355593826684703</v>
      </c>
      <c r="J151" s="102">
        <v>45672</v>
      </c>
      <c r="K151" s="102">
        <v>38708</v>
      </c>
      <c r="L151" s="110">
        <v>-15.247854265195304</v>
      </c>
      <c r="M151" s="101">
        <v>315751</v>
      </c>
      <c r="N151" s="101">
        <v>427516</v>
      </c>
      <c r="O151" s="110">
        <v>35.396562481195623</v>
      </c>
      <c r="P151" s="110">
        <v>2.0625136802256629</v>
      </c>
      <c r="Q151" s="102">
        <v>833467</v>
      </c>
      <c r="R151" s="102">
        <v>925660</v>
      </c>
      <c r="S151" s="110">
        <v>11.061385753725105</v>
      </c>
      <c r="T151" s="102">
        <v>9138218</v>
      </c>
      <c r="U151" s="102">
        <v>7822353</v>
      </c>
      <c r="V151" s="110">
        <v>-14.399579874325607</v>
      </c>
      <c r="W151" s="110">
        <v>3.6527670474351148</v>
      </c>
      <c r="X151" s="101">
        <v>7785.3458995419996</v>
      </c>
      <c r="Y151" s="101">
        <v>10941.4139134</v>
      </c>
      <c r="Z151" s="110">
        <v>40.538571498071363</v>
      </c>
      <c r="AA151" s="101">
        <v>82159.770117099994</v>
      </c>
      <c r="AB151" s="101">
        <v>157551.07064510003</v>
      </c>
      <c r="AC151" s="110">
        <v>91.761820195634613</v>
      </c>
      <c r="AD151" s="110">
        <v>1.8778657646197965</v>
      </c>
    </row>
    <row r="152" spans="1:30" s="22" customFormat="1">
      <c r="A152" s="125"/>
      <c r="B152" s="95" t="s">
        <v>3</v>
      </c>
      <c r="C152" s="96">
        <v>6.1882156000000021</v>
      </c>
      <c r="D152" s="96">
        <v>8.4419461000000027</v>
      </c>
      <c r="E152" s="113">
        <v>36.419715240690699</v>
      </c>
      <c r="F152" s="96">
        <v>48.422017199999999</v>
      </c>
      <c r="G152" s="96">
        <v>72.127241085999998</v>
      </c>
      <c r="H152" s="113">
        <v>48.955465419974288</v>
      </c>
      <c r="I152" s="113">
        <v>0.18199134543673418</v>
      </c>
      <c r="J152" s="103">
        <v>863</v>
      </c>
      <c r="K152" s="103">
        <v>936</v>
      </c>
      <c r="L152" s="113">
        <v>8.4588644264194777</v>
      </c>
      <c r="M152" s="103">
        <v>9505</v>
      </c>
      <c r="N152" s="103">
        <v>8611</v>
      </c>
      <c r="O152" s="113">
        <v>-9.4055760126249393</v>
      </c>
      <c r="P152" s="113">
        <v>0.82271460468902424</v>
      </c>
      <c r="Q152" s="103"/>
      <c r="R152" s="103"/>
      <c r="S152" s="113" t="s">
        <v>126</v>
      </c>
      <c r="T152" s="103"/>
      <c r="U152" s="103"/>
      <c r="V152" s="113" t="s">
        <v>126</v>
      </c>
      <c r="W152" s="113" t="s">
        <v>126</v>
      </c>
      <c r="X152" s="96">
        <v>26.466981000000001</v>
      </c>
      <c r="Y152" s="96">
        <v>18.903977000000019</v>
      </c>
      <c r="Z152" s="113">
        <v>-28.575242487989016</v>
      </c>
      <c r="AA152" s="96">
        <v>280.92282600000004</v>
      </c>
      <c r="AB152" s="96">
        <v>209.46726300000003</v>
      </c>
      <c r="AC152" s="113">
        <v>-25.436011739394935</v>
      </c>
      <c r="AD152" s="113">
        <v>0.66562146533589384</v>
      </c>
    </row>
    <row r="153" spans="1:30" s="22" customFormat="1">
      <c r="A153" s="125"/>
      <c r="B153" s="95" t="s">
        <v>4</v>
      </c>
      <c r="C153" s="96">
        <v>75.317329894515325</v>
      </c>
      <c r="D153" s="96">
        <v>104.87133990325992</v>
      </c>
      <c r="E153" s="113">
        <v>39.239322543876789</v>
      </c>
      <c r="F153" s="96">
        <v>614.8584925430755</v>
      </c>
      <c r="G153" s="96">
        <v>905.51644087733007</v>
      </c>
      <c r="H153" s="113">
        <v>47.272332066535093</v>
      </c>
      <c r="I153" s="113">
        <v>1.0172961005263443</v>
      </c>
      <c r="J153" s="103">
        <v>44802</v>
      </c>
      <c r="K153" s="103">
        <v>37766</v>
      </c>
      <c r="L153" s="113">
        <v>-15.704656042140975</v>
      </c>
      <c r="M153" s="103">
        <v>306189</v>
      </c>
      <c r="N153" s="103">
        <v>418801</v>
      </c>
      <c r="O153" s="113">
        <v>36.778591000983063</v>
      </c>
      <c r="P153" s="113">
        <v>2.1316217286454053</v>
      </c>
      <c r="Q153" s="103"/>
      <c r="R153" s="103"/>
      <c r="S153" s="113" t="s">
        <v>126</v>
      </c>
      <c r="T153" s="103"/>
      <c r="U153" s="103"/>
      <c r="V153" s="113" t="s">
        <v>126</v>
      </c>
      <c r="W153" s="113" t="s">
        <v>126</v>
      </c>
      <c r="X153" s="96">
        <v>1334.3819725999995</v>
      </c>
      <c r="Y153" s="96">
        <v>1680.9295804000003</v>
      </c>
      <c r="Z153" s="113">
        <v>25.970645206242125</v>
      </c>
      <c r="AA153" s="96">
        <v>10924.396722499998</v>
      </c>
      <c r="AB153" s="96">
        <v>15318.7858942</v>
      </c>
      <c r="AC153" s="113">
        <v>40.225463092614298</v>
      </c>
      <c r="AD153" s="113">
        <v>0.57821296270614397</v>
      </c>
    </row>
    <row r="154" spans="1:30" s="22" customFormat="1" ht="14.25" customHeight="1">
      <c r="A154" s="125"/>
      <c r="B154" s="95" t="s">
        <v>5</v>
      </c>
      <c r="C154" s="96">
        <v>47.870219939000009</v>
      </c>
      <c r="D154" s="96">
        <v>47.128651502000011</v>
      </c>
      <c r="E154" s="113">
        <v>-1.5491226861814367</v>
      </c>
      <c r="F154" s="96">
        <v>434.82657310200005</v>
      </c>
      <c r="G154" s="96">
        <v>479.08990802900013</v>
      </c>
      <c r="H154" s="113">
        <v>10.179537697346962</v>
      </c>
      <c r="I154" s="113">
        <v>0.29218962135651161</v>
      </c>
      <c r="J154" s="103">
        <v>1</v>
      </c>
      <c r="K154" s="103">
        <v>1</v>
      </c>
      <c r="L154" s="113">
        <v>0</v>
      </c>
      <c r="M154" s="103">
        <v>14</v>
      </c>
      <c r="N154" s="103">
        <v>20</v>
      </c>
      <c r="O154" s="113">
        <v>42.857142857142861</v>
      </c>
      <c r="P154" s="113">
        <v>0.74183976261127604</v>
      </c>
      <c r="Q154" s="103">
        <v>373879</v>
      </c>
      <c r="R154" s="103">
        <v>356232</v>
      </c>
      <c r="S154" s="113">
        <v>-4.7199762490003465</v>
      </c>
      <c r="T154" s="103">
        <v>3670862</v>
      </c>
      <c r="U154" s="103">
        <v>3600546</v>
      </c>
      <c r="V154" s="113">
        <v>-1.9155173907381973</v>
      </c>
      <c r="W154" s="113">
        <v>2.8339791976384441</v>
      </c>
      <c r="X154" s="96">
        <v>4664.488497323</v>
      </c>
      <c r="Y154" s="96">
        <v>5279.2923400999998</v>
      </c>
      <c r="Z154" s="113">
        <v>13.180520074812963</v>
      </c>
      <c r="AA154" s="96">
        <v>42566.496683400001</v>
      </c>
      <c r="AB154" s="96">
        <v>49220.59441469999</v>
      </c>
      <c r="AC154" s="113">
        <v>15.632241903278231</v>
      </c>
      <c r="AD154" s="113">
        <v>2.7174972014935235</v>
      </c>
    </row>
    <row r="155" spans="1:30">
      <c r="A155" s="125"/>
      <c r="B155" s="95" t="s">
        <v>6</v>
      </c>
      <c r="C155" s="96">
        <v>0</v>
      </c>
      <c r="D155" s="96">
        <v>12.848994924000003</v>
      </c>
      <c r="E155" s="113" t="s">
        <v>126</v>
      </c>
      <c r="F155" s="96">
        <v>0</v>
      </c>
      <c r="G155" s="96">
        <v>165.36102015000003</v>
      </c>
      <c r="H155" s="113" t="s">
        <v>126</v>
      </c>
      <c r="I155" s="113">
        <v>7.6921352412837276</v>
      </c>
      <c r="J155" s="103">
        <v>0</v>
      </c>
      <c r="K155" s="103">
        <v>1</v>
      </c>
      <c r="L155" s="113" t="s">
        <v>126</v>
      </c>
      <c r="M155" s="103">
        <v>0</v>
      </c>
      <c r="N155" s="103">
        <v>29</v>
      </c>
      <c r="O155" s="113" t="s">
        <v>126</v>
      </c>
      <c r="P155" s="113">
        <v>0.72627097420485853</v>
      </c>
      <c r="Q155" s="106">
        <v>0</v>
      </c>
      <c r="R155" s="106">
        <v>520786</v>
      </c>
      <c r="S155" s="113" t="s">
        <v>126</v>
      </c>
      <c r="T155" s="106">
        <v>0</v>
      </c>
      <c r="U155" s="106">
        <v>3353568</v>
      </c>
      <c r="V155" s="113" t="s">
        <v>126</v>
      </c>
      <c r="W155" s="113">
        <v>41.38459036194832</v>
      </c>
      <c r="X155" s="96">
        <v>0</v>
      </c>
      <c r="Y155" s="96">
        <v>780.7944043</v>
      </c>
      <c r="Z155" s="113" t="s">
        <v>126</v>
      </c>
      <c r="AA155" s="96">
        <v>0</v>
      </c>
      <c r="AB155" s="96">
        <v>10277.1460484</v>
      </c>
      <c r="AC155" s="113" t="s">
        <v>126</v>
      </c>
      <c r="AD155" s="113">
        <v>11.236136478812035</v>
      </c>
    </row>
    <row r="156" spans="1:30">
      <c r="A156" s="125"/>
      <c r="B156" s="94" t="s">
        <v>25</v>
      </c>
      <c r="C156" s="96">
        <v>11.537823705999998</v>
      </c>
      <c r="D156" s="96">
        <v>8.4732069140000021</v>
      </c>
      <c r="E156" s="113">
        <v>-26.561480484454858</v>
      </c>
      <c r="F156" s="96">
        <v>317.50881931399994</v>
      </c>
      <c r="G156" s="96">
        <v>132.48235082100035</v>
      </c>
      <c r="H156" s="113">
        <v>-58.274434358315538</v>
      </c>
      <c r="I156" s="113">
        <v>1.1879032905086733</v>
      </c>
      <c r="J156" s="103">
        <v>6</v>
      </c>
      <c r="K156" s="103">
        <v>4</v>
      </c>
      <c r="L156" s="113">
        <v>-33.333333333333336</v>
      </c>
      <c r="M156" s="103">
        <v>43</v>
      </c>
      <c r="N156" s="103">
        <v>55</v>
      </c>
      <c r="O156" s="113">
        <v>27.906976744186053</v>
      </c>
      <c r="P156" s="113">
        <v>0.19996364297400473</v>
      </c>
      <c r="Q156" s="106">
        <v>459588</v>
      </c>
      <c r="R156" s="106">
        <v>48642</v>
      </c>
      <c r="S156" s="113">
        <v>-89.416172746024699</v>
      </c>
      <c r="T156" s="106">
        <v>5467356</v>
      </c>
      <c r="U156" s="106">
        <v>868239</v>
      </c>
      <c r="V156" s="113">
        <v>-84.119581750301236</v>
      </c>
      <c r="W156" s="113">
        <v>1.099090397339789</v>
      </c>
      <c r="X156" s="96">
        <v>1760.0084486189999</v>
      </c>
      <c r="Y156" s="96">
        <v>3181.4936116000003</v>
      </c>
      <c r="Z156" s="113">
        <v>80.76581473778586</v>
      </c>
      <c r="AA156" s="96">
        <v>28387.953885199997</v>
      </c>
      <c r="AB156" s="96">
        <v>82525.077024800019</v>
      </c>
      <c r="AC156" s="113">
        <v>190.70456207773506</v>
      </c>
      <c r="AD156" s="113">
        <v>2.1680691130290017</v>
      </c>
    </row>
    <row r="157" spans="1:30">
      <c r="A157" s="125"/>
      <c r="B157" s="94"/>
      <c r="C157" s="104"/>
      <c r="D157" s="104"/>
      <c r="E157" s="113"/>
      <c r="F157" s="104"/>
      <c r="G157" s="104"/>
      <c r="H157" s="113"/>
      <c r="I157" s="110"/>
      <c r="J157" s="103"/>
      <c r="K157" s="103"/>
      <c r="L157" s="113"/>
      <c r="M157" s="103"/>
      <c r="N157" s="103"/>
      <c r="O157" s="113"/>
      <c r="P157" s="113"/>
      <c r="Q157" s="103"/>
      <c r="R157" s="103"/>
      <c r="S157" s="113"/>
      <c r="T157" s="103"/>
      <c r="U157" s="103"/>
      <c r="V157" s="113"/>
      <c r="W157" s="113"/>
      <c r="X157" s="96"/>
      <c r="Y157" s="96"/>
      <c r="Z157" s="113"/>
      <c r="AA157" s="96"/>
      <c r="AB157" s="96"/>
      <c r="AC157" s="113"/>
      <c r="AD157" s="113"/>
    </row>
    <row r="158" spans="1:30" s="20" customFormat="1" ht="15">
      <c r="A158" s="124">
        <v>23</v>
      </c>
      <c r="B158" s="93" t="s">
        <v>59</v>
      </c>
      <c r="C158" s="101">
        <v>238.30933559999997</v>
      </c>
      <c r="D158" s="101">
        <v>636.73832762500922</v>
      </c>
      <c r="E158" s="110">
        <v>167.18983795656612</v>
      </c>
      <c r="F158" s="101">
        <v>2480.9921177950037</v>
      </c>
      <c r="G158" s="101">
        <v>3499.8184987060099</v>
      </c>
      <c r="H158" s="110">
        <v>41.065280844845816</v>
      </c>
      <c r="I158" s="110">
        <v>1.1440602079300557</v>
      </c>
      <c r="J158" s="102">
        <v>13135</v>
      </c>
      <c r="K158" s="102">
        <v>27295</v>
      </c>
      <c r="L158" s="110">
        <v>107.80357822611344</v>
      </c>
      <c r="M158" s="101">
        <v>148842</v>
      </c>
      <c r="N158" s="101">
        <v>146770</v>
      </c>
      <c r="O158" s="110">
        <v>-1.3920801924188098</v>
      </c>
      <c r="P158" s="110">
        <v>0.70807907270539705</v>
      </c>
      <c r="Q158" s="102">
        <v>162147</v>
      </c>
      <c r="R158" s="102">
        <v>475952</v>
      </c>
      <c r="S158" s="110">
        <v>193.53117849852293</v>
      </c>
      <c r="T158" s="102">
        <v>3230564</v>
      </c>
      <c r="U158" s="102">
        <v>2386933</v>
      </c>
      <c r="V158" s="110">
        <v>-26.114046958983018</v>
      </c>
      <c r="W158" s="110">
        <v>1.114614772158127</v>
      </c>
      <c r="X158" s="101">
        <v>7482.7516581000009</v>
      </c>
      <c r="Y158" s="101">
        <v>15818.754946999998</v>
      </c>
      <c r="Z158" s="110">
        <v>111.40291258866463</v>
      </c>
      <c r="AA158" s="101">
        <v>135061.13055430001</v>
      </c>
      <c r="AB158" s="101">
        <v>80455.308412499988</v>
      </c>
      <c r="AC158" s="110">
        <v>-40.430449469580211</v>
      </c>
      <c r="AD158" s="110">
        <v>0.95895425293613945</v>
      </c>
    </row>
    <row r="159" spans="1:30">
      <c r="A159" s="125"/>
      <c r="B159" s="95" t="s">
        <v>3</v>
      </c>
      <c r="C159" s="96">
        <v>3.7106701000000002</v>
      </c>
      <c r="D159" s="96">
        <v>4.2552699999999994</v>
      </c>
      <c r="E159" s="113">
        <v>14.676591702398966</v>
      </c>
      <c r="F159" s="96">
        <v>57.334104399999994</v>
      </c>
      <c r="G159" s="96">
        <v>71.155469600000004</v>
      </c>
      <c r="H159" s="113">
        <v>24.106708118388287</v>
      </c>
      <c r="I159" s="113">
        <v>0.17953937309547516</v>
      </c>
      <c r="J159" s="103">
        <v>155</v>
      </c>
      <c r="K159" s="103">
        <v>167</v>
      </c>
      <c r="L159" s="113">
        <v>7.7419354838709653</v>
      </c>
      <c r="M159" s="103">
        <v>1742</v>
      </c>
      <c r="N159" s="103">
        <v>2289</v>
      </c>
      <c r="O159" s="113">
        <v>31.400688863375436</v>
      </c>
      <c r="P159" s="113">
        <v>0.21869628732239885</v>
      </c>
      <c r="Q159" s="103"/>
      <c r="R159" s="103"/>
      <c r="S159" s="113" t="s">
        <v>126</v>
      </c>
      <c r="T159" s="103"/>
      <c r="U159" s="103"/>
      <c r="V159" s="113" t="s">
        <v>126</v>
      </c>
      <c r="W159" s="113" t="s">
        <v>126</v>
      </c>
      <c r="X159" s="96">
        <v>5.3427670000000003</v>
      </c>
      <c r="Y159" s="96">
        <v>4.6901383999999995</v>
      </c>
      <c r="Z159" s="113">
        <v>-12.215179887125915</v>
      </c>
      <c r="AA159" s="96">
        <v>67.725783399999997</v>
      </c>
      <c r="AB159" s="96">
        <v>85.546818099999996</v>
      </c>
      <c r="AC159" s="113">
        <v>26.313515776917541</v>
      </c>
      <c r="AD159" s="113">
        <v>0.27184103903885526</v>
      </c>
    </row>
    <row r="160" spans="1:30">
      <c r="A160" s="125"/>
      <c r="B160" s="95" t="s">
        <v>4</v>
      </c>
      <c r="C160" s="96">
        <v>132.72598178300001</v>
      </c>
      <c r="D160" s="96">
        <v>275.84781526200925</v>
      </c>
      <c r="E160" s="113">
        <v>107.83256718568177</v>
      </c>
      <c r="F160" s="96">
        <v>1150.107011458</v>
      </c>
      <c r="G160" s="96">
        <v>1344.2141270260097</v>
      </c>
      <c r="H160" s="113">
        <v>16.877309122908368</v>
      </c>
      <c r="I160" s="113">
        <v>1.5101479420639627</v>
      </c>
      <c r="J160" s="103">
        <v>12973</v>
      </c>
      <c r="K160" s="103">
        <v>27117</v>
      </c>
      <c r="L160" s="113">
        <v>109.02643952825098</v>
      </c>
      <c r="M160" s="103">
        <v>147027</v>
      </c>
      <c r="N160" s="103">
        <v>144405</v>
      </c>
      <c r="O160" s="113">
        <v>-1.7833459160562337</v>
      </c>
      <c r="P160" s="113">
        <v>0.73499546497033141</v>
      </c>
      <c r="Q160" s="103"/>
      <c r="R160" s="103"/>
      <c r="S160" s="113" t="s">
        <v>126</v>
      </c>
      <c r="T160" s="103"/>
      <c r="U160" s="103"/>
      <c r="V160" s="113" t="s">
        <v>126</v>
      </c>
      <c r="W160" s="113" t="s">
        <v>126</v>
      </c>
      <c r="X160" s="96">
        <v>1107.4236398000003</v>
      </c>
      <c r="Y160" s="96">
        <v>3269.6371204999996</v>
      </c>
      <c r="Z160" s="113">
        <v>195.24718481632678</v>
      </c>
      <c r="AA160" s="96">
        <v>12423.921515799999</v>
      </c>
      <c r="AB160" s="96">
        <v>16368.1859879</v>
      </c>
      <c r="AC160" s="113">
        <v>31.747338930658266</v>
      </c>
      <c r="AD160" s="113">
        <v>0.61782293842048042</v>
      </c>
    </row>
    <row r="161" spans="1:30">
      <c r="A161" s="125"/>
      <c r="B161" s="95" t="s">
        <v>5</v>
      </c>
      <c r="C161" s="96">
        <v>96.181928683999999</v>
      </c>
      <c r="D161" s="96">
        <v>343.20474560000002</v>
      </c>
      <c r="E161" s="113">
        <v>256.82872062960888</v>
      </c>
      <c r="F161" s="96">
        <v>1098.3013645370002</v>
      </c>
      <c r="G161" s="96">
        <v>1998.077345784</v>
      </c>
      <c r="H161" s="113">
        <v>81.924325171562501</v>
      </c>
      <c r="I161" s="113">
        <v>1.2185968715298239</v>
      </c>
      <c r="J161" s="103">
        <v>3</v>
      </c>
      <c r="K161" s="103">
        <v>3</v>
      </c>
      <c r="L161" s="113">
        <v>0</v>
      </c>
      <c r="M161" s="103">
        <v>27</v>
      </c>
      <c r="N161" s="103">
        <v>21</v>
      </c>
      <c r="O161" s="113">
        <v>-22.222222222222221</v>
      </c>
      <c r="P161" s="113">
        <v>0.77893175074183973</v>
      </c>
      <c r="Q161" s="103">
        <v>9569</v>
      </c>
      <c r="R161" s="103">
        <v>7310</v>
      </c>
      <c r="S161" s="113">
        <v>-23.607482495558575</v>
      </c>
      <c r="T161" s="103">
        <v>94895</v>
      </c>
      <c r="U161" s="103">
        <v>97661</v>
      </c>
      <c r="V161" s="113">
        <v>2.9148005690500023</v>
      </c>
      <c r="W161" s="113">
        <v>7.6868686699341743E-2</v>
      </c>
      <c r="X161" s="96">
        <v>1483.3995000000002</v>
      </c>
      <c r="Y161" s="96">
        <v>961.31295</v>
      </c>
      <c r="Z161" s="113">
        <v>-35.19527612082922</v>
      </c>
      <c r="AA161" s="96">
        <v>15398.224226999997</v>
      </c>
      <c r="AB161" s="96">
        <v>12071.543621999999</v>
      </c>
      <c r="AC161" s="113">
        <v>-21.604313302353617</v>
      </c>
      <c r="AD161" s="113">
        <v>0.66647683557220083</v>
      </c>
    </row>
    <row r="162" spans="1:30">
      <c r="A162" s="125"/>
      <c r="B162" s="95" t="s">
        <v>6</v>
      </c>
      <c r="C162" s="96">
        <v>0</v>
      </c>
      <c r="D162" s="96">
        <v>0</v>
      </c>
      <c r="E162" s="113" t="s">
        <v>126</v>
      </c>
      <c r="F162" s="96">
        <v>-2.2929999999999999E-3</v>
      </c>
      <c r="G162" s="96">
        <v>0</v>
      </c>
      <c r="H162" s="113">
        <v>-100</v>
      </c>
      <c r="I162" s="113">
        <v>0</v>
      </c>
      <c r="J162" s="103">
        <v>0</v>
      </c>
      <c r="K162" s="103">
        <v>0</v>
      </c>
      <c r="L162" s="113" t="s">
        <v>126</v>
      </c>
      <c r="M162" s="103">
        <v>0</v>
      </c>
      <c r="N162" s="103">
        <v>0</v>
      </c>
      <c r="O162" s="113" t="s">
        <v>126</v>
      </c>
      <c r="P162" s="113">
        <v>0</v>
      </c>
      <c r="Q162" s="106">
        <v>0</v>
      </c>
      <c r="R162" s="106">
        <v>0</v>
      </c>
      <c r="S162" s="113" t="s">
        <v>126</v>
      </c>
      <c r="T162" s="106">
        <v>-1</v>
      </c>
      <c r="U162" s="106">
        <v>0</v>
      </c>
      <c r="V162" s="113">
        <v>-100</v>
      </c>
      <c r="W162" s="113">
        <v>0</v>
      </c>
      <c r="X162" s="96">
        <v>0</v>
      </c>
      <c r="Y162" s="96">
        <v>0</v>
      </c>
      <c r="Z162" s="113" t="s">
        <v>126</v>
      </c>
      <c r="AA162" s="96">
        <v>-0.40749999999999997</v>
      </c>
      <c r="AB162" s="96">
        <v>0</v>
      </c>
      <c r="AC162" s="113">
        <v>-100</v>
      </c>
      <c r="AD162" s="113">
        <v>0</v>
      </c>
    </row>
    <row r="163" spans="1:30">
      <c r="A163" s="125"/>
      <c r="B163" s="94" t="s">
        <v>25</v>
      </c>
      <c r="C163" s="96">
        <v>5.6907550329999994</v>
      </c>
      <c r="D163" s="96">
        <v>13.430496762999997</v>
      </c>
      <c r="E163" s="113">
        <v>136.0055332749024</v>
      </c>
      <c r="F163" s="96">
        <v>175.25193040000397</v>
      </c>
      <c r="G163" s="96">
        <v>86.371556295999994</v>
      </c>
      <c r="H163" s="113">
        <v>-50.715774657168609</v>
      </c>
      <c r="I163" s="113">
        <v>0.77445074981345952</v>
      </c>
      <c r="J163" s="103">
        <v>4</v>
      </c>
      <c r="K163" s="103">
        <v>8</v>
      </c>
      <c r="L163" s="113">
        <v>100</v>
      </c>
      <c r="M163" s="103">
        <v>46</v>
      </c>
      <c r="N163" s="103">
        <v>55</v>
      </c>
      <c r="O163" s="113">
        <v>19.565217391304344</v>
      </c>
      <c r="P163" s="113">
        <v>0.19996364297400473</v>
      </c>
      <c r="Q163" s="106">
        <v>152578</v>
      </c>
      <c r="R163" s="106">
        <v>468642</v>
      </c>
      <c r="S163" s="113">
        <v>207.14913028090552</v>
      </c>
      <c r="T163" s="106">
        <v>3135670</v>
      </c>
      <c r="U163" s="106">
        <v>2289272</v>
      </c>
      <c r="V163" s="113">
        <v>-26.992572560250284</v>
      </c>
      <c r="W163" s="113">
        <v>2.8979542177889424</v>
      </c>
      <c r="X163" s="96">
        <v>4886.5857513000001</v>
      </c>
      <c r="Y163" s="96">
        <v>11583.114738099999</v>
      </c>
      <c r="Z163" s="113">
        <v>137.03901512458862</v>
      </c>
      <c r="AA163" s="96">
        <v>107171.66652810002</v>
      </c>
      <c r="AB163" s="96">
        <v>51930.03198449999</v>
      </c>
      <c r="AC163" s="113">
        <v>-51.544999096487757</v>
      </c>
      <c r="AD163" s="113">
        <v>1.3642871045169485</v>
      </c>
    </row>
    <row r="164" spans="1:30">
      <c r="A164" s="125"/>
      <c r="B164" s="94"/>
      <c r="C164" s="104"/>
      <c r="D164" s="104"/>
      <c r="E164" s="113"/>
      <c r="F164" s="104"/>
      <c r="G164" s="104"/>
      <c r="H164" s="113"/>
      <c r="I164" s="110"/>
      <c r="J164" s="103"/>
      <c r="K164" s="103"/>
      <c r="L164" s="113"/>
      <c r="M164" s="103"/>
      <c r="N164" s="103"/>
      <c r="O164" s="113"/>
      <c r="P164" s="113"/>
      <c r="Q164" s="103"/>
      <c r="R164" s="103"/>
      <c r="S164" s="113"/>
      <c r="T164" s="103"/>
      <c r="U164" s="103"/>
      <c r="V164" s="113"/>
      <c r="W164" s="113"/>
      <c r="X164" s="96"/>
      <c r="Y164" s="96"/>
      <c r="Z164" s="113"/>
      <c r="AA164" s="96"/>
      <c r="AB164" s="96"/>
      <c r="AC164" s="113"/>
      <c r="AD164" s="113"/>
    </row>
    <row r="165" spans="1:30" s="20" customFormat="1" ht="15">
      <c r="A165" s="124">
        <v>24</v>
      </c>
      <c r="B165" s="93" t="s">
        <v>42</v>
      </c>
      <c r="C165" s="101">
        <v>755.99714470100025</v>
      </c>
      <c r="D165" s="101">
        <v>858.99826852500007</v>
      </c>
      <c r="E165" s="110">
        <v>13.624538736153191</v>
      </c>
      <c r="F165" s="101">
        <v>6560.4887269635738</v>
      </c>
      <c r="G165" s="101">
        <v>7794.4663930389779</v>
      </c>
      <c r="H165" s="110">
        <v>18.809233845700589</v>
      </c>
      <c r="I165" s="110">
        <v>2.5479432278048186</v>
      </c>
      <c r="J165" s="102">
        <v>72221</v>
      </c>
      <c r="K165" s="102">
        <v>89357</v>
      </c>
      <c r="L165" s="110">
        <v>23.727170767505299</v>
      </c>
      <c r="M165" s="101">
        <v>578672</v>
      </c>
      <c r="N165" s="101">
        <v>741786</v>
      </c>
      <c r="O165" s="110">
        <v>28.187643431857779</v>
      </c>
      <c r="P165" s="110">
        <v>3.578681903834882</v>
      </c>
      <c r="Q165" s="102">
        <v>150935</v>
      </c>
      <c r="R165" s="102">
        <v>186316</v>
      </c>
      <c r="S165" s="110">
        <v>23.441216417663234</v>
      </c>
      <c r="T165" s="102">
        <v>1833360</v>
      </c>
      <c r="U165" s="102">
        <v>2153346</v>
      </c>
      <c r="V165" s="110">
        <v>17.453527948684378</v>
      </c>
      <c r="W165" s="110">
        <v>1.0055377596135351</v>
      </c>
      <c r="X165" s="101">
        <v>71101.481766555997</v>
      </c>
      <c r="Y165" s="101">
        <v>87060.510612453014</v>
      </c>
      <c r="Z165" s="110">
        <v>22.445423709022716</v>
      </c>
      <c r="AA165" s="101">
        <v>685703.89155289414</v>
      </c>
      <c r="AB165" s="101">
        <v>830938.12676438084</v>
      </c>
      <c r="AC165" s="110">
        <v>21.180313689423414</v>
      </c>
      <c r="AD165" s="110">
        <v>9.904028289868462</v>
      </c>
    </row>
    <row r="166" spans="1:30" ht="15" customHeight="1">
      <c r="A166" s="125"/>
      <c r="B166" s="95" t="s">
        <v>3</v>
      </c>
      <c r="C166" s="96">
        <v>56.136159499999991</v>
      </c>
      <c r="D166" s="96">
        <v>63.87361954</v>
      </c>
      <c r="E166" s="113">
        <v>13.783379748306457</v>
      </c>
      <c r="F166" s="96">
        <v>711.11178825100012</v>
      </c>
      <c r="G166" s="96">
        <v>704.76405137799998</v>
      </c>
      <c r="H166" s="113">
        <v>-0.89264964775968014</v>
      </c>
      <c r="I166" s="113">
        <v>1.7782595867322244</v>
      </c>
      <c r="J166" s="103">
        <v>935</v>
      </c>
      <c r="K166" s="103">
        <v>1192</v>
      </c>
      <c r="L166" s="113">
        <v>27.486631016042786</v>
      </c>
      <c r="M166" s="103">
        <v>8065</v>
      </c>
      <c r="N166" s="103">
        <v>14703</v>
      </c>
      <c r="O166" s="113">
        <v>82.30626162430255</v>
      </c>
      <c r="P166" s="113">
        <v>1.4047581968113718</v>
      </c>
      <c r="Q166" s="103"/>
      <c r="R166" s="103"/>
      <c r="S166" s="113" t="s">
        <v>126</v>
      </c>
      <c r="T166" s="103"/>
      <c r="U166" s="103"/>
      <c r="V166" s="113" t="s">
        <v>126</v>
      </c>
      <c r="W166" s="113" t="s">
        <v>126</v>
      </c>
      <c r="X166" s="96">
        <v>76.577927399999993</v>
      </c>
      <c r="Y166" s="96">
        <v>99.872419900000011</v>
      </c>
      <c r="Z166" s="113">
        <v>30.419330074477855</v>
      </c>
      <c r="AA166" s="96">
        <v>992.08040399999993</v>
      </c>
      <c r="AB166" s="96">
        <v>1138.1117159</v>
      </c>
      <c r="AC166" s="113">
        <v>14.719705309288633</v>
      </c>
      <c r="AD166" s="113">
        <v>3.6165631669771061</v>
      </c>
    </row>
    <row r="167" spans="1:30">
      <c r="A167" s="125"/>
      <c r="B167" s="95" t="s">
        <v>4</v>
      </c>
      <c r="C167" s="96">
        <v>637.26176905199998</v>
      </c>
      <c r="D167" s="96">
        <v>722.06925028199998</v>
      </c>
      <c r="E167" s="113">
        <v>13.308107491864906</v>
      </c>
      <c r="F167" s="96">
        <v>5313.3071250520006</v>
      </c>
      <c r="G167" s="96">
        <v>6354.9495912809998</v>
      </c>
      <c r="H167" s="113">
        <v>19.604409113068243</v>
      </c>
      <c r="I167" s="113">
        <v>7.1394235890272908</v>
      </c>
      <c r="J167" s="103">
        <v>71259</v>
      </c>
      <c r="K167" s="103">
        <v>88132</v>
      </c>
      <c r="L167" s="113">
        <v>23.67841255139702</v>
      </c>
      <c r="M167" s="103">
        <v>570261</v>
      </c>
      <c r="N167" s="103">
        <v>726688</v>
      </c>
      <c r="O167" s="113">
        <v>27.430772926782645</v>
      </c>
      <c r="P167" s="113">
        <v>3.6987111557657992</v>
      </c>
      <c r="Q167" s="103"/>
      <c r="R167" s="103"/>
      <c r="S167" s="113" t="s">
        <v>126</v>
      </c>
      <c r="T167" s="103"/>
      <c r="U167" s="103"/>
      <c r="V167" s="113" t="s">
        <v>126</v>
      </c>
      <c r="W167" s="113" t="s">
        <v>126</v>
      </c>
      <c r="X167" s="96">
        <v>58235.4501284</v>
      </c>
      <c r="Y167" s="96">
        <v>71867.14944020001</v>
      </c>
      <c r="Z167" s="113">
        <v>23.407905806075611</v>
      </c>
      <c r="AA167" s="96">
        <v>445399.98225860001</v>
      </c>
      <c r="AB167" s="96">
        <v>650343.95326399989</v>
      </c>
      <c r="AC167" s="113">
        <v>46.013466360312762</v>
      </c>
      <c r="AD167" s="113">
        <v>24.547461306132533</v>
      </c>
    </row>
    <row r="168" spans="1:30">
      <c r="A168" s="125"/>
      <c r="B168" s="95" t="s">
        <v>5</v>
      </c>
      <c r="C168" s="96">
        <v>23.05684768500004</v>
      </c>
      <c r="D168" s="96">
        <v>35.705388877000075</v>
      </c>
      <c r="E168" s="113">
        <v>54.858068044699458</v>
      </c>
      <c r="F168" s="96">
        <v>224.72090064759107</v>
      </c>
      <c r="G168" s="96">
        <v>293.77484999400372</v>
      </c>
      <c r="H168" s="113">
        <v>30.728761386865202</v>
      </c>
      <c r="I168" s="113">
        <v>0.17916879638929489</v>
      </c>
      <c r="J168" s="103">
        <v>1</v>
      </c>
      <c r="K168" s="103">
        <v>0</v>
      </c>
      <c r="L168" s="113">
        <v>-100</v>
      </c>
      <c r="M168" s="103">
        <v>7</v>
      </c>
      <c r="N168" s="103">
        <v>18</v>
      </c>
      <c r="O168" s="113">
        <v>157.14285714285717</v>
      </c>
      <c r="P168" s="113">
        <v>0.66765578635014833</v>
      </c>
      <c r="Q168" s="103">
        <v>12345</v>
      </c>
      <c r="R168" s="103">
        <v>17913</v>
      </c>
      <c r="S168" s="113">
        <v>45.103280680437429</v>
      </c>
      <c r="T168" s="103">
        <v>196892</v>
      </c>
      <c r="U168" s="103">
        <v>185217</v>
      </c>
      <c r="V168" s="113">
        <v>-5.9296467098714061</v>
      </c>
      <c r="W168" s="113">
        <v>0.14578375753260747</v>
      </c>
      <c r="X168" s="96">
        <v>1491.2529420000001</v>
      </c>
      <c r="Y168" s="96">
        <v>2216.5833994999998</v>
      </c>
      <c r="Z168" s="113">
        <v>48.638995912203868</v>
      </c>
      <c r="AA168" s="96">
        <v>18720.589936799999</v>
      </c>
      <c r="AB168" s="96">
        <v>20444.897999052002</v>
      </c>
      <c r="AC168" s="113">
        <v>9.2107570758891875</v>
      </c>
      <c r="AD168" s="113">
        <v>1.1287745253367232</v>
      </c>
    </row>
    <row r="169" spans="1:30">
      <c r="A169" s="125"/>
      <c r="B169" s="95" t="s">
        <v>6</v>
      </c>
      <c r="C169" s="96">
        <v>0.31879349499999998</v>
      </c>
      <c r="D169" s="96">
        <v>6.9105144999999993E-2</v>
      </c>
      <c r="E169" s="113">
        <v>-78.322912454659715</v>
      </c>
      <c r="F169" s="96">
        <v>3.0957824340000002</v>
      </c>
      <c r="G169" s="96">
        <v>2.4059134980000003</v>
      </c>
      <c r="H169" s="113">
        <v>-22.284154352172404</v>
      </c>
      <c r="I169" s="113">
        <v>0.11191641167101259</v>
      </c>
      <c r="J169" s="103">
        <v>0</v>
      </c>
      <c r="K169" s="103">
        <v>0</v>
      </c>
      <c r="L169" s="113" t="s">
        <v>126</v>
      </c>
      <c r="M169" s="103">
        <v>0</v>
      </c>
      <c r="N169" s="103">
        <v>0</v>
      </c>
      <c r="O169" s="113" t="s">
        <v>126</v>
      </c>
      <c r="P169" s="113">
        <v>0</v>
      </c>
      <c r="Q169" s="106">
        <v>0</v>
      </c>
      <c r="R169" s="106">
        <v>0</v>
      </c>
      <c r="S169" s="113" t="s">
        <v>126</v>
      </c>
      <c r="T169" s="106">
        <v>0</v>
      </c>
      <c r="U169" s="106">
        <v>0</v>
      </c>
      <c r="V169" s="113" t="s">
        <v>126</v>
      </c>
      <c r="W169" s="113">
        <v>0</v>
      </c>
      <c r="X169" s="96">
        <v>0</v>
      </c>
      <c r="Y169" s="96">
        <v>0</v>
      </c>
      <c r="Z169" s="113" t="s">
        <v>126</v>
      </c>
      <c r="AA169" s="96">
        <v>0</v>
      </c>
      <c r="AB169" s="96">
        <v>0</v>
      </c>
      <c r="AC169" s="113" t="s">
        <v>126</v>
      </c>
      <c r="AD169" s="113">
        <v>0</v>
      </c>
    </row>
    <row r="170" spans="1:30">
      <c r="A170" s="125"/>
      <c r="B170" s="94" t="s">
        <v>25</v>
      </c>
      <c r="C170" s="96">
        <v>39.223574969000218</v>
      </c>
      <c r="D170" s="96">
        <v>37.280904681000067</v>
      </c>
      <c r="E170" s="113">
        <v>-4.9528129180869236</v>
      </c>
      <c r="F170" s="96">
        <v>308.25313057898182</v>
      </c>
      <c r="G170" s="96">
        <v>438.57198688797553</v>
      </c>
      <c r="H170" s="113">
        <v>42.276571875919004</v>
      </c>
      <c r="I170" s="113">
        <v>3.9324566866499917</v>
      </c>
      <c r="J170" s="103">
        <v>26</v>
      </c>
      <c r="K170" s="103">
        <v>33</v>
      </c>
      <c r="L170" s="113">
        <v>26.923076923076916</v>
      </c>
      <c r="M170" s="103">
        <v>339</v>
      </c>
      <c r="N170" s="103">
        <v>377</v>
      </c>
      <c r="O170" s="113">
        <v>11.209439528023601</v>
      </c>
      <c r="P170" s="113">
        <v>1.3706598800218142</v>
      </c>
      <c r="Q170" s="106">
        <v>138590</v>
      </c>
      <c r="R170" s="106">
        <v>168403</v>
      </c>
      <c r="S170" s="113">
        <v>21.511653077422622</v>
      </c>
      <c r="T170" s="106">
        <v>1636468</v>
      </c>
      <c r="U170" s="106">
        <v>1968129</v>
      </c>
      <c r="V170" s="113">
        <v>20.266879645675928</v>
      </c>
      <c r="W170" s="113">
        <v>2.4914242329887988</v>
      </c>
      <c r="X170" s="96">
        <v>11298.200768756</v>
      </c>
      <c r="Y170" s="96">
        <v>12876.905352853</v>
      </c>
      <c r="Z170" s="113">
        <v>13.973061874265369</v>
      </c>
      <c r="AA170" s="96">
        <v>220591.23895349418</v>
      </c>
      <c r="AB170" s="96">
        <v>159011.16378542903</v>
      </c>
      <c r="AC170" s="113">
        <v>-27.915920623233671</v>
      </c>
      <c r="AD170" s="113">
        <v>4.1774840479868045</v>
      </c>
    </row>
    <row r="171" spans="1:30">
      <c r="A171" s="125"/>
      <c r="B171" s="94"/>
      <c r="C171" s="104"/>
      <c r="D171" s="104"/>
      <c r="E171" s="104"/>
      <c r="F171" s="104"/>
      <c r="G171" s="104"/>
      <c r="H171" s="104"/>
      <c r="I171" s="104"/>
      <c r="J171" s="103"/>
      <c r="K171" s="104"/>
      <c r="L171" s="104"/>
      <c r="M171" s="103"/>
      <c r="N171" s="104"/>
      <c r="O171" s="104"/>
      <c r="P171" s="104"/>
      <c r="Q171" s="103"/>
      <c r="R171" s="104"/>
      <c r="S171" s="104"/>
      <c r="T171" s="103"/>
      <c r="U171" s="104"/>
      <c r="V171" s="104"/>
      <c r="W171" s="104"/>
      <c r="X171" s="96"/>
      <c r="Y171" s="104"/>
      <c r="Z171" s="104"/>
      <c r="AA171" s="96"/>
      <c r="AB171" s="104"/>
      <c r="AC171" s="104"/>
      <c r="AD171" s="104"/>
    </row>
    <row r="172" spans="1:30" s="20" customFormat="1" ht="15">
      <c r="A172" s="126"/>
      <c r="B172" s="93" t="s">
        <v>10</v>
      </c>
      <c r="C172" s="129">
        <v>14638.983670493901</v>
      </c>
      <c r="D172" s="129">
        <v>14532.502930811381</v>
      </c>
      <c r="E172" s="110">
        <v>-0.72737795245404469</v>
      </c>
      <c r="F172" s="129">
        <v>117507.15246116828</v>
      </c>
      <c r="G172" s="129">
        <v>131663.46652325589</v>
      </c>
      <c r="H172" s="110">
        <v>12.047193524467147</v>
      </c>
      <c r="I172" s="110">
        <v>43.039641325137559</v>
      </c>
      <c r="J172" s="133">
        <v>764164</v>
      </c>
      <c r="K172" s="133">
        <v>811119</v>
      </c>
      <c r="L172" s="110">
        <v>6.1446234054469917</v>
      </c>
      <c r="M172" s="133">
        <v>6697492</v>
      </c>
      <c r="N172" s="133">
        <v>7260292</v>
      </c>
      <c r="O172" s="110">
        <v>8.4031455356721629</v>
      </c>
      <c r="P172" s="110">
        <v>35.02664595578397</v>
      </c>
      <c r="Q172" s="133">
        <v>17753949</v>
      </c>
      <c r="R172" s="133">
        <v>17529895</v>
      </c>
      <c r="S172" s="110">
        <v>-1.2619952890480901</v>
      </c>
      <c r="T172" s="133">
        <v>213065087.398</v>
      </c>
      <c r="U172" s="133">
        <v>175846064</v>
      </c>
      <c r="V172" s="110">
        <v>-17.468382010646277</v>
      </c>
      <c r="W172" s="110">
        <v>82.114001758852638</v>
      </c>
      <c r="X172" s="133">
        <v>623216.66898857465</v>
      </c>
      <c r="Y172" s="133">
        <v>781565.24542501848</v>
      </c>
      <c r="Z172" s="110">
        <v>25.408270400313505</v>
      </c>
      <c r="AA172" s="133">
        <v>5777364.9309052415</v>
      </c>
      <c r="AB172" s="133">
        <v>6861259.3269664887</v>
      </c>
      <c r="AC172" s="110">
        <v>18.761051258214611</v>
      </c>
      <c r="AD172" s="110">
        <v>81.779983719135416</v>
      </c>
    </row>
    <row r="173" spans="1:30">
      <c r="A173" s="94"/>
      <c r="B173" s="94" t="s">
        <v>3</v>
      </c>
      <c r="C173" s="96">
        <v>1631.2362765146538</v>
      </c>
      <c r="D173" s="96">
        <v>1813.9379573452052</v>
      </c>
      <c r="E173" s="113">
        <v>11.200197265163636</v>
      </c>
      <c r="F173" s="96">
        <v>15860.296128767353</v>
      </c>
      <c r="G173" s="96">
        <v>17269.395092498129</v>
      </c>
      <c r="H173" s="113">
        <v>8.8844429655695834</v>
      </c>
      <c r="I173" s="113">
        <v>43.57411153457118</v>
      </c>
      <c r="J173" s="103">
        <v>26901</v>
      </c>
      <c r="K173" s="103">
        <v>25645</v>
      </c>
      <c r="L173" s="113">
        <v>-4.6689714137020939</v>
      </c>
      <c r="M173" s="103">
        <v>213229</v>
      </c>
      <c r="N173" s="103">
        <v>250246</v>
      </c>
      <c r="O173" s="113">
        <v>17.360208977202916</v>
      </c>
      <c r="P173" s="113">
        <v>23.909074319476197</v>
      </c>
      <c r="Q173" s="103">
        <v>0</v>
      </c>
      <c r="R173" s="103">
        <v>0</v>
      </c>
      <c r="S173" s="113" t="s">
        <v>126</v>
      </c>
      <c r="T173" s="103">
        <v>0</v>
      </c>
      <c r="U173" s="103">
        <v>0</v>
      </c>
      <c r="V173" s="113" t="s">
        <v>126</v>
      </c>
      <c r="W173" s="113" t="s">
        <v>126</v>
      </c>
      <c r="X173" s="103">
        <v>1806.122085796</v>
      </c>
      <c r="Y173" s="103">
        <v>1298.2427984249971</v>
      </c>
      <c r="Z173" s="113">
        <v>-28.11987580270182</v>
      </c>
      <c r="AA173" s="103">
        <v>15073.926921537999</v>
      </c>
      <c r="AB173" s="103">
        <v>16128.603489908999</v>
      </c>
      <c r="AC173" s="113">
        <v>6.9966941850039932</v>
      </c>
      <c r="AD173" s="113">
        <v>51.251658779610054</v>
      </c>
    </row>
    <row r="174" spans="1:30">
      <c r="A174" s="94"/>
      <c r="B174" s="94" t="s">
        <v>4</v>
      </c>
      <c r="C174" s="96">
        <v>6489.9477830208707</v>
      </c>
      <c r="D174" s="96">
        <v>7778.337021627699</v>
      </c>
      <c r="E174" s="113">
        <v>19.852074033284794</v>
      </c>
      <c r="F174" s="96">
        <v>53324.390109651584</v>
      </c>
      <c r="G174" s="96">
        <v>63830.220596721621</v>
      </c>
      <c r="H174" s="113">
        <v>19.701735857581816</v>
      </c>
      <c r="I174" s="113">
        <v>71.709614069368257</v>
      </c>
      <c r="J174" s="103">
        <v>736669</v>
      </c>
      <c r="K174" s="103">
        <v>784741</v>
      </c>
      <c r="L174" s="113">
        <v>6.5255901904383018</v>
      </c>
      <c r="M174" s="103">
        <v>6477738</v>
      </c>
      <c r="N174" s="103">
        <v>7002610</v>
      </c>
      <c r="O174" s="113">
        <v>8.1027049874508705</v>
      </c>
      <c r="P174" s="113">
        <v>35.642024811854803</v>
      </c>
      <c r="Q174" s="103">
        <v>0</v>
      </c>
      <c r="R174" s="103">
        <v>0</v>
      </c>
      <c r="S174" s="113" t="s">
        <v>126</v>
      </c>
      <c r="T174" s="103">
        <v>0</v>
      </c>
      <c r="U174" s="103">
        <v>0</v>
      </c>
      <c r="V174" s="113" t="s">
        <v>126</v>
      </c>
      <c r="W174" s="113" t="s">
        <v>126</v>
      </c>
      <c r="X174" s="103">
        <v>197003.26495887802</v>
      </c>
      <c r="Y174" s="103">
        <v>268193.1011467441</v>
      </c>
      <c r="Z174" s="113">
        <v>36.136373781787867</v>
      </c>
      <c r="AA174" s="103">
        <v>1586724.424906879</v>
      </c>
      <c r="AB174" s="103">
        <v>2225695.4374535629</v>
      </c>
      <c r="AC174" s="113">
        <v>40.269816391348698</v>
      </c>
      <c r="AD174" s="113">
        <v>84.009657283533656</v>
      </c>
    </row>
    <row r="175" spans="1:30">
      <c r="A175" s="94"/>
      <c r="B175" s="94" t="s">
        <v>5</v>
      </c>
      <c r="C175" s="96">
        <v>5882.537542702471</v>
      </c>
      <c r="D175" s="96">
        <v>3944.3122444428473</v>
      </c>
      <c r="E175" s="113">
        <v>-32.948796062747988</v>
      </c>
      <c r="F175" s="96">
        <v>41194.556755742917</v>
      </c>
      <c r="G175" s="96">
        <v>41110.869292977652</v>
      </c>
      <c r="H175" s="113">
        <v>-0.2031517495417634</v>
      </c>
      <c r="I175" s="113">
        <v>25.072891603521448</v>
      </c>
      <c r="J175" s="103">
        <v>148</v>
      </c>
      <c r="K175" s="103">
        <v>199</v>
      </c>
      <c r="L175" s="113">
        <v>34.459459459459453</v>
      </c>
      <c r="M175" s="103">
        <v>1485</v>
      </c>
      <c r="N175" s="103">
        <v>2030</v>
      </c>
      <c r="O175" s="113">
        <v>36.700336700336699</v>
      </c>
      <c r="P175" s="113">
        <v>75.296735905044514</v>
      </c>
      <c r="Q175" s="103">
        <v>15549807</v>
      </c>
      <c r="R175" s="103">
        <v>11036903</v>
      </c>
      <c r="S175" s="113">
        <v>-29.022250887101041</v>
      </c>
      <c r="T175" s="103">
        <v>150735356.398</v>
      </c>
      <c r="U175" s="103">
        <v>126985446</v>
      </c>
      <c r="V175" s="113">
        <v>-15.756031607668074</v>
      </c>
      <c r="W175" s="113">
        <v>99.949872149068497</v>
      </c>
      <c r="X175" s="103">
        <v>168117.20254115807</v>
      </c>
      <c r="Y175" s="103">
        <v>180882.06080523517</v>
      </c>
      <c r="Z175" s="113">
        <v>7.5928328993887684</v>
      </c>
      <c r="AA175" s="103">
        <v>1657598.1476666243</v>
      </c>
      <c r="AB175" s="103">
        <v>1810700.4849411801</v>
      </c>
      <c r="AC175" s="113">
        <v>9.2363964987578928</v>
      </c>
      <c r="AD175" s="113">
        <v>99.969810586055573</v>
      </c>
    </row>
    <row r="176" spans="1:30">
      <c r="A176" s="94"/>
      <c r="B176" s="94" t="s">
        <v>6</v>
      </c>
      <c r="C176" s="96">
        <v>7.0728702343336156</v>
      </c>
      <c r="D176" s="96">
        <v>20.581988800000005</v>
      </c>
      <c r="E176" s="113">
        <v>190.99910104513853</v>
      </c>
      <c r="F176" s="96">
        <v>107.79397656900115</v>
      </c>
      <c r="G176" s="96">
        <v>252.73180506599999</v>
      </c>
      <c r="H176" s="113">
        <v>134.45818876922232</v>
      </c>
      <c r="I176" s="113">
        <v>11.756381416720641</v>
      </c>
      <c r="J176" s="103">
        <v>7</v>
      </c>
      <c r="K176" s="103">
        <v>16</v>
      </c>
      <c r="L176" s="113">
        <v>128.57142857142856</v>
      </c>
      <c r="M176" s="103">
        <v>67</v>
      </c>
      <c r="N176" s="103">
        <v>164</v>
      </c>
      <c r="O176" s="113">
        <v>144.77611940298507</v>
      </c>
      <c r="P176" s="113">
        <v>4.107187578261958</v>
      </c>
      <c r="Q176" s="103">
        <v>5898</v>
      </c>
      <c r="R176" s="103">
        <v>531703</v>
      </c>
      <c r="S176" s="113">
        <v>8914.9711766700584</v>
      </c>
      <c r="T176" s="103">
        <v>125329</v>
      </c>
      <c r="U176" s="103">
        <v>3432371</v>
      </c>
      <c r="V176" s="113">
        <v>2638.6885716793399</v>
      </c>
      <c r="W176" s="113">
        <v>42.357056068411595</v>
      </c>
      <c r="X176" s="103">
        <v>-33.025854199999898</v>
      </c>
      <c r="Y176" s="103">
        <v>957.97437059999982</v>
      </c>
      <c r="Z176" s="113">
        <v>-3000.6800696164969</v>
      </c>
      <c r="AA176" s="103">
        <v>8170.3830190000008</v>
      </c>
      <c r="AB176" s="103">
        <v>14040.1314463</v>
      </c>
      <c r="AC176" s="113">
        <v>71.841777963775513</v>
      </c>
      <c r="AD176" s="113">
        <v>15.350257004049078</v>
      </c>
    </row>
    <row r="177" spans="1:30">
      <c r="A177" s="94"/>
      <c r="B177" s="94" t="s">
        <v>25</v>
      </c>
      <c r="C177" s="96">
        <v>628.18919802157279</v>
      </c>
      <c r="D177" s="96">
        <v>975.33371859562885</v>
      </c>
      <c r="E177" s="113">
        <v>55.261141335660888</v>
      </c>
      <c r="F177" s="96">
        <v>7020.1154904374298</v>
      </c>
      <c r="G177" s="96">
        <v>9200.24973599244</v>
      </c>
      <c r="H177" s="113">
        <v>31.055532469867721</v>
      </c>
      <c r="I177" s="113">
        <v>82.494059526867687</v>
      </c>
      <c r="J177" s="103">
        <v>439</v>
      </c>
      <c r="K177" s="103">
        <v>518</v>
      </c>
      <c r="L177" s="113">
        <v>17.995444191343957</v>
      </c>
      <c r="M177" s="103">
        <v>4973</v>
      </c>
      <c r="N177" s="103">
        <v>5242</v>
      </c>
      <c r="O177" s="113">
        <v>5.4092097325558086</v>
      </c>
      <c r="P177" s="113">
        <v>19.058353026722415</v>
      </c>
      <c r="Q177" s="103">
        <v>5711828</v>
      </c>
      <c r="R177" s="103">
        <v>5961289</v>
      </c>
      <c r="S177" s="113">
        <v>4.3674459384981379</v>
      </c>
      <c r="T177" s="103">
        <v>62204402</v>
      </c>
      <c r="U177" s="103">
        <v>45428247</v>
      </c>
      <c r="V177" s="113">
        <v>-26.969401618875789</v>
      </c>
      <c r="W177" s="113">
        <v>57.506919230396328</v>
      </c>
      <c r="X177" s="103">
        <v>256323.10525694254</v>
      </c>
      <c r="Y177" s="103">
        <v>330233.86630401423</v>
      </c>
      <c r="Z177" s="113">
        <v>28.834997521188079</v>
      </c>
      <c r="AA177" s="103">
        <v>2509798.0483912001</v>
      </c>
      <c r="AB177" s="103">
        <v>2794694.6696355375</v>
      </c>
      <c r="AC177" s="113">
        <v>11.351376315993168</v>
      </c>
      <c r="AD177" s="113">
        <v>73.421212218472093</v>
      </c>
    </row>
    <row r="178" spans="1:30">
      <c r="A178" s="94"/>
      <c r="B178" s="94"/>
      <c r="C178" s="104"/>
      <c r="D178" s="104"/>
      <c r="E178" s="113"/>
      <c r="F178" s="104"/>
      <c r="G178" s="104"/>
      <c r="H178" s="113"/>
      <c r="I178" s="110"/>
      <c r="J178" s="106"/>
      <c r="K178" s="106"/>
      <c r="L178" s="113"/>
      <c r="M178" s="106"/>
      <c r="N178" s="106"/>
      <c r="O178" s="113"/>
      <c r="P178" s="113"/>
      <c r="Q178" s="106"/>
      <c r="R178" s="106"/>
      <c r="S178" s="113"/>
      <c r="T178" s="106"/>
      <c r="U178" s="106"/>
      <c r="V178" s="113"/>
      <c r="W178" s="113"/>
      <c r="X178" s="96"/>
      <c r="Y178" s="96"/>
      <c r="Z178" s="113"/>
      <c r="AA178" s="96"/>
      <c r="AB178" s="96"/>
      <c r="AC178" s="113"/>
      <c r="AD178" s="113"/>
    </row>
    <row r="179" spans="1:30" s="20" customFormat="1" ht="15">
      <c r="A179" s="109">
        <v>25</v>
      </c>
      <c r="B179" s="93" t="s">
        <v>52</v>
      </c>
      <c r="C179" s="101">
        <v>18920.771296783991</v>
      </c>
      <c r="D179" s="101">
        <v>16292.669660409001</v>
      </c>
      <c r="E179" s="110">
        <v>-13.890034370965065</v>
      </c>
      <c r="F179" s="101">
        <v>166326.36535224202</v>
      </c>
      <c r="G179" s="101">
        <v>174248.62398098598</v>
      </c>
      <c r="H179" s="110">
        <v>4.763080472519432</v>
      </c>
      <c r="I179" s="110">
        <v>56.960358674862441</v>
      </c>
      <c r="J179" s="102">
        <v>2029231</v>
      </c>
      <c r="K179" s="102">
        <v>1732607</v>
      </c>
      <c r="L179" s="110">
        <v>-14.617557094288426</v>
      </c>
      <c r="M179" s="101">
        <v>14610786</v>
      </c>
      <c r="N179" s="101">
        <v>13467619</v>
      </c>
      <c r="O179" s="110">
        <v>-7.8241307483389306</v>
      </c>
      <c r="P179" s="110">
        <v>64.973354044216038</v>
      </c>
      <c r="Q179" s="102">
        <v>2668713</v>
      </c>
      <c r="R179" s="102">
        <v>3572636</v>
      </c>
      <c r="S179" s="110">
        <v>33.871120648792143</v>
      </c>
      <c r="T179" s="102">
        <v>36274148</v>
      </c>
      <c r="U179" s="102">
        <v>38302632</v>
      </c>
      <c r="V179" s="110">
        <v>5.5920927488083194</v>
      </c>
      <c r="W179" s="110">
        <v>17.885998241147359</v>
      </c>
      <c r="X179" s="101">
        <v>176649.63371700008</v>
      </c>
      <c r="Y179" s="101">
        <v>142214.71610570006</v>
      </c>
      <c r="Z179" s="110">
        <v>-19.493342208943474</v>
      </c>
      <c r="AA179" s="101">
        <v>1348184.7339952001</v>
      </c>
      <c r="AB179" s="101">
        <v>1528641.2513104002</v>
      </c>
      <c r="AC179" s="110">
        <v>13.38514765557659</v>
      </c>
      <c r="AD179" s="110">
        <v>18.220016280864574</v>
      </c>
    </row>
    <row r="180" spans="1:30">
      <c r="A180" s="94"/>
      <c r="B180" s="94" t="s">
        <v>3</v>
      </c>
      <c r="C180" s="96">
        <v>1919.0090251000004</v>
      </c>
      <c r="D180" s="96">
        <v>2313.7303561999993</v>
      </c>
      <c r="E180" s="113">
        <v>20.569019006016909</v>
      </c>
      <c r="F180" s="96">
        <v>18922.345311500001</v>
      </c>
      <c r="G180" s="96">
        <v>22362.8417663</v>
      </c>
      <c r="H180" s="113">
        <v>18.182188297288103</v>
      </c>
      <c r="I180" s="113">
        <v>56.425888465428805</v>
      </c>
      <c r="J180" s="103">
        <v>75305</v>
      </c>
      <c r="K180" s="103">
        <v>84650</v>
      </c>
      <c r="L180" s="113">
        <v>12.409534559458212</v>
      </c>
      <c r="M180" s="103">
        <v>715553</v>
      </c>
      <c r="N180" s="103">
        <v>796411</v>
      </c>
      <c r="O180" s="113">
        <v>11.300071413298518</v>
      </c>
      <c r="P180" s="113">
        <v>76.090925680523796</v>
      </c>
      <c r="Q180" s="103"/>
      <c r="R180" s="103"/>
      <c r="S180" s="113" t="s">
        <v>126</v>
      </c>
      <c r="T180" s="103"/>
      <c r="U180" s="103"/>
      <c r="V180" s="113" t="s">
        <v>126</v>
      </c>
      <c r="W180" s="113" t="s">
        <v>126</v>
      </c>
      <c r="X180" s="96">
        <v>1213.9159999999997</v>
      </c>
      <c r="Y180" s="96">
        <v>1882.8938750000002</v>
      </c>
      <c r="Z180" s="113">
        <v>55.109074680620452</v>
      </c>
      <c r="AA180" s="96">
        <v>12047.446099999999</v>
      </c>
      <c r="AB180" s="96">
        <v>15340.823791000001</v>
      </c>
      <c r="AC180" s="113">
        <v>27.336728993541648</v>
      </c>
      <c r="AD180" s="113">
        <v>48.748341220389946</v>
      </c>
    </row>
    <row r="181" spans="1:30">
      <c r="A181" s="94"/>
      <c r="B181" s="94" t="s">
        <v>4</v>
      </c>
      <c r="C181" s="96">
        <v>3130.4509306000009</v>
      </c>
      <c r="D181" s="96">
        <v>2853.9879135000015</v>
      </c>
      <c r="E181" s="113">
        <v>-8.8314119348617552</v>
      </c>
      <c r="F181" s="96">
        <v>24735.452450500001</v>
      </c>
      <c r="G181" s="96">
        <v>25181.861569799996</v>
      </c>
      <c r="H181" s="113">
        <v>1.8047339954397001</v>
      </c>
      <c r="I181" s="113">
        <v>28.290385930631739</v>
      </c>
      <c r="J181" s="103">
        <v>1950495</v>
      </c>
      <c r="K181" s="103">
        <v>1645706</v>
      </c>
      <c r="L181" s="113">
        <v>-15.626238467671028</v>
      </c>
      <c r="M181" s="103">
        <v>13866293</v>
      </c>
      <c r="N181" s="103">
        <v>12644450</v>
      </c>
      <c r="O181" s="113">
        <v>-8.8116052358045529</v>
      </c>
      <c r="P181" s="113">
        <v>64.357975188145204</v>
      </c>
      <c r="Q181" s="103"/>
      <c r="R181" s="103"/>
      <c r="S181" s="113" t="s">
        <v>126</v>
      </c>
      <c r="T181" s="103"/>
      <c r="U181" s="103"/>
      <c r="V181" s="113" t="s">
        <v>126</v>
      </c>
      <c r="W181" s="113" t="s">
        <v>126</v>
      </c>
      <c r="X181" s="96">
        <v>61334.006299999986</v>
      </c>
      <c r="Y181" s="96">
        <v>55049.42940000003</v>
      </c>
      <c r="Z181" s="113">
        <v>-10.246480344460974</v>
      </c>
      <c r="AA181" s="96">
        <v>443884.67229999998</v>
      </c>
      <c r="AB181" s="96">
        <v>423637.40048650006</v>
      </c>
      <c r="AC181" s="113">
        <v>-4.5613811597927327</v>
      </c>
      <c r="AD181" s="113">
        <v>15.990342716466349</v>
      </c>
    </row>
    <row r="182" spans="1:30">
      <c r="A182" s="94"/>
      <c r="B182" s="94" t="s">
        <v>5</v>
      </c>
      <c r="C182" s="96">
        <v>12420.794765273989</v>
      </c>
      <c r="D182" s="96">
        <v>10879.100716436002</v>
      </c>
      <c r="E182" s="113">
        <v>-12.412201296073667</v>
      </c>
      <c r="F182" s="96">
        <v>117617.15474603702</v>
      </c>
      <c r="G182" s="96">
        <v>122854.53981525499</v>
      </c>
      <c r="H182" s="113">
        <v>4.452909170032826</v>
      </c>
      <c r="I182" s="113">
        <v>74.927108396478545</v>
      </c>
      <c r="J182" s="103">
        <v>229</v>
      </c>
      <c r="K182" s="103">
        <v>388</v>
      </c>
      <c r="L182" s="113">
        <v>69.432314410480345</v>
      </c>
      <c r="M182" s="103">
        <v>547</v>
      </c>
      <c r="N182" s="103">
        <v>666</v>
      </c>
      <c r="O182" s="113">
        <v>21.755027422303463</v>
      </c>
      <c r="P182" s="113">
        <v>24.70326409495549</v>
      </c>
      <c r="Q182" s="103">
        <v>14386</v>
      </c>
      <c r="R182" s="103">
        <v>17732</v>
      </c>
      <c r="S182" s="113">
        <v>23.258723759210341</v>
      </c>
      <c r="T182" s="103">
        <v>72880</v>
      </c>
      <c r="U182" s="103">
        <v>63687</v>
      </c>
      <c r="V182" s="113">
        <v>-12.61388583973655</v>
      </c>
      <c r="W182" s="113">
        <v>5.0127850931497506E-2</v>
      </c>
      <c r="X182" s="96">
        <v>57.567770000000017</v>
      </c>
      <c r="Y182" s="96">
        <v>3.0743999999999505</v>
      </c>
      <c r="Z182" s="113">
        <v>-94.659511737209982</v>
      </c>
      <c r="AA182" s="96">
        <v>828.67268569999999</v>
      </c>
      <c r="AB182" s="96">
        <v>546.80494190000002</v>
      </c>
      <c r="AC182" s="113">
        <v>-34.014364014170376</v>
      </c>
      <c r="AD182" s="113">
        <v>3.0189413944425966E-2</v>
      </c>
    </row>
    <row r="183" spans="1:30">
      <c r="A183" s="94"/>
      <c r="B183" s="94" t="s">
        <v>6</v>
      </c>
      <c r="C183" s="96">
        <v>1312.0282480150001</v>
      </c>
      <c r="D183" s="96">
        <v>79.012808274000037</v>
      </c>
      <c r="E183" s="113">
        <v>-93.977811956904091</v>
      </c>
      <c r="F183" s="96">
        <v>3564.6516312389999</v>
      </c>
      <c r="G183" s="96">
        <v>1897.0096511490001</v>
      </c>
      <c r="H183" s="113">
        <v>-46.782747729835286</v>
      </c>
      <c r="I183" s="113">
        <v>88.243618583279343</v>
      </c>
      <c r="J183" s="103">
        <v>353</v>
      </c>
      <c r="K183" s="103">
        <v>383</v>
      </c>
      <c r="L183" s="113">
        <v>8.4985835694050937</v>
      </c>
      <c r="M183" s="103">
        <v>3313</v>
      </c>
      <c r="N183" s="103">
        <v>3829</v>
      </c>
      <c r="O183" s="113">
        <v>15.575007546030783</v>
      </c>
      <c r="P183" s="113">
        <v>95.892812421738043</v>
      </c>
      <c r="Q183" s="106">
        <v>593681</v>
      </c>
      <c r="R183" s="106">
        <v>513999</v>
      </c>
      <c r="S183" s="113">
        <v>-13.4216860569902</v>
      </c>
      <c r="T183" s="106">
        <v>5009025</v>
      </c>
      <c r="U183" s="106">
        <v>4671051</v>
      </c>
      <c r="V183" s="113">
        <v>-6.7473011214757346</v>
      </c>
      <c r="W183" s="113">
        <v>57.642943931588405</v>
      </c>
      <c r="X183" s="96">
        <v>7683.654073799994</v>
      </c>
      <c r="Y183" s="96">
        <v>8678.4462226000032</v>
      </c>
      <c r="Z183" s="113">
        <v>12.946862771869029</v>
      </c>
      <c r="AA183" s="96">
        <v>59840.991053500002</v>
      </c>
      <c r="AB183" s="96">
        <v>77424.991532400003</v>
      </c>
      <c r="AC183" s="113">
        <v>29.384540879644305</v>
      </c>
      <c r="AD183" s="113">
        <v>84.649742995950916</v>
      </c>
    </row>
    <row r="184" spans="1:30">
      <c r="A184" s="94"/>
      <c r="B184" s="94" t="s">
        <v>25</v>
      </c>
      <c r="C184" s="96">
        <v>138.48832779500012</v>
      </c>
      <c r="D184" s="96">
        <v>166.83786599899963</v>
      </c>
      <c r="E184" s="113">
        <v>20.470705838808634</v>
      </c>
      <c r="F184" s="96">
        <v>1486.7612129660001</v>
      </c>
      <c r="G184" s="96">
        <v>1952.3711784819998</v>
      </c>
      <c r="H184" s="113">
        <v>31.317064331207266</v>
      </c>
      <c r="I184" s="113">
        <v>17.505940473132313</v>
      </c>
      <c r="J184" s="103">
        <v>2849</v>
      </c>
      <c r="K184" s="103">
        <v>1480</v>
      </c>
      <c r="L184" s="113">
        <v>-48.05194805194806</v>
      </c>
      <c r="M184" s="103">
        <v>25080</v>
      </c>
      <c r="N184" s="103">
        <v>22263</v>
      </c>
      <c r="O184" s="113">
        <v>-11.232057416267939</v>
      </c>
      <c r="P184" s="113">
        <v>80.941646973277585</v>
      </c>
      <c r="Q184" s="106">
        <v>2060646</v>
      </c>
      <c r="R184" s="106">
        <v>3040905</v>
      </c>
      <c r="S184" s="113">
        <v>47.570470619407686</v>
      </c>
      <c r="T184" s="106">
        <v>31192243</v>
      </c>
      <c r="U184" s="106">
        <v>33567894</v>
      </c>
      <c r="V184" s="113">
        <v>7.6161595689030692</v>
      </c>
      <c r="W184" s="113">
        <v>42.493080769603672</v>
      </c>
      <c r="X184" s="96">
        <v>106360.4895732001</v>
      </c>
      <c r="Y184" s="96">
        <v>76600.872208100016</v>
      </c>
      <c r="Z184" s="113">
        <v>-27.979955230103304</v>
      </c>
      <c r="AA184" s="96">
        <v>831582.95185600012</v>
      </c>
      <c r="AB184" s="96">
        <v>1011691.2305586002</v>
      </c>
      <c r="AC184" s="113">
        <v>21.658486179955784</v>
      </c>
      <c r="AD184" s="113">
        <v>26.578787781527897</v>
      </c>
    </row>
    <row r="185" spans="1:30">
      <c r="A185" s="94"/>
      <c r="B185" s="94"/>
      <c r="C185" s="104"/>
      <c r="D185" s="104"/>
      <c r="E185" s="113"/>
      <c r="F185" s="104"/>
      <c r="G185" s="104"/>
      <c r="H185" s="113"/>
      <c r="I185" s="110"/>
      <c r="J185" s="103"/>
      <c r="K185" s="104"/>
      <c r="L185" s="113"/>
      <c r="M185" s="103"/>
      <c r="N185" s="104"/>
      <c r="O185" s="113"/>
      <c r="P185" s="113"/>
      <c r="Q185" s="103"/>
      <c r="R185" s="104"/>
      <c r="S185" s="113"/>
      <c r="T185" s="103"/>
      <c r="U185" s="104"/>
      <c r="V185" s="113"/>
      <c r="W185" s="113"/>
      <c r="X185" s="96"/>
      <c r="Y185" s="104"/>
      <c r="Z185" s="113"/>
      <c r="AA185" s="96"/>
      <c r="AB185" s="104"/>
      <c r="AC185" s="113"/>
      <c r="AD185" s="113"/>
    </row>
    <row r="186" spans="1:30" s="20" customFormat="1" ht="15">
      <c r="A186" s="126"/>
      <c r="B186" s="93" t="s">
        <v>11</v>
      </c>
      <c r="C186" s="101">
        <v>33559.754967277891</v>
      </c>
      <c r="D186" s="101">
        <v>30825.172591220384</v>
      </c>
      <c r="E186" s="110">
        <v>-8.1483979210332009</v>
      </c>
      <c r="F186" s="101">
        <v>283833.51781341032</v>
      </c>
      <c r="G186" s="101">
        <v>305912.09050424187</v>
      </c>
      <c r="H186" s="110">
        <v>7.778705228656535</v>
      </c>
      <c r="I186" s="110">
        <v>100</v>
      </c>
      <c r="J186" s="102">
        <v>2793395</v>
      </c>
      <c r="K186" s="102">
        <v>2543726</v>
      </c>
      <c r="L186" s="110">
        <v>-8.9378337113082846</v>
      </c>
      <c r="M186" s="102">
        <v>21308278</v>
      </c>
      <c r="N186" s="102">
        <v>20727911</v>
      </c>
      <c r="O186" s="110">
        <v>-2.7236691768335319</v>
      </c>
      <c r="P186" s="110">
        <v>100</v>
      </c>
      <c r="Q186" s="102">
        <v>20422662</v>
      </c>
      <c r="R186" s="102">
        <v>21102531</v>
      </c>
      <c r="S186" s="110">
        <v>3.328993056830698</v>
      </c>
      <c r="T186" s="102">
        <v>249339235.398</v>
      </c>
      <c r="U186" s="102">
        <v>214148696</v>
      </c>
      <c r="V186" s="110">
        <v>-14.113518613237186</v>
      </c>
      <c r="W186" s="110">
        <v>100</v>
      </c>
      <c r="X186" s="102">
        <v>799866.30270557478</v>
      </c>
      <c r="Y186" s="102">
        <v>923779.96153071849</v>
      </c>
      <c r="Z186" s="110">
        <v>15.491796367218068</v>
      </c>
      <c r="AA186" s="102">
        <v>7125549.6649004417</v>
      </c>
      <c r="AB186" s="102">
        <v>8389900.5782768894</v>
      </c>
      <c r="AC186" s="110">
        <v>17.743907106626189</v>
      </c>
      <c r="AD186" s="110">
        <v>100</v>
      </c>
    </row>
    <row r="187" spans="1:30">
      <c r="A187" s="94"/>
      <c r="B187" s="94" t="s">
        <v>3</v>
      </c>
      <c r="C187" s="96">
        <v>3550.2453016146542</v>
      </c>
      <c r="D187" s="96">
        <v>4127.668313545204</v>
      </c>
      <c r="E187" s="113">
        <v>16.264313107264371</v>
      </c>
      <c r="F187" s="96">
        <v>34782.641440267354</v>
      </c>
      <c r="G187" s="96">
        <v>39632.236858798133</v>
      </c>
      <c r="H187" s="113">
        <v>13.942573702629947</v>
      </c>
      <c r="I187" s="113">
        <v>100</v>
      </c>
      <c r="J187" s="103">
        <v>102206</v>
      </c>
      <c r="K187" s="103">
        <v>110295</v>
      </c>
      <c r="L187" s="113">
        <v>7.9144081560769353</v>
      </c>
      <c r="M187" s="103">
        <v>928782</v>
      </c>
      <c r="N187" s="103">
        <v>1046657</v>
      </c>
      <c r="O187" s="113">
        <v>12.691352760927742</v>
      </c>
      <c r="P187" s="113">
        <v>100</v>
      </c>
      <c r="Q187" s="103">
        <v>0</v>
      </c>
      <c r="R187" s="103">
        <v>0</v>
      </c>
      <c r="S187" s="113" t="s">
        <v>126</v>
      </c>
      <c r="T187" s="103">
        <v>0</v>
      </c>
      <c r="U187" s="103">
        <v>0</v>
      </c>
      <c r="V187" s="113" t="s">
        <v>126</v>
      </c>
      <c r="W187" s="113" t="s">
        <v>126</v>
      </c>
      <c r="X187" s="103">
        <v>3020.0380857959999</v>
      </c>
      <c r="Y187" s="103">
        <v>3181.1366734249973</v>
      </c>
      <c r="Z187" s="113">
        <v>5.3343230466756264</v>
      </c>
      <c r="AA187" s="103">
        <v>27121.373021537998</v>
      </c>
      <c r="AB187" s="103">
        <v>31469.427280909</v>
      </c>
      <c r="AC187" s="113">
        <v>16.031836794981082</v>
      </c>
      <c r="AD187" s="113">
        <v>100</v>
      </c>
    </row>
    <row r="188" spans="1:30">
      <c r="A188" s="94"/>
      <c r="B188" s="94" t="s">
        <v>4</v>
      </c>
      <c r="C188" s="96">
        <v>9620.3987136208707</v>
      </c>
      <c r="D188" s="96">
        <v>10632.324935127701</v>
      </c>
      <c r="E188" s="113">
        <v>10.518547636431252</v>
      </c>
      <c r="F188" s="96">
        <v>78059.842560151592</v>
      </c>
      <c r="G188" s="96">
        <v>89012.082166521621</v>
      </c>
      <c r="H188" s="113">
        <v>14.030568403888877</v>
      </c>
      <c r="I188" s="113">
        <v>100</v>
      </c>
      <c r="J188" s="103">
        <v>2687164</v>
      </c>
      <c r="K188" s="103">
        <v>2430447</v>
      </c>
      <c r="L188" s="113">
        <v>-9.5534548691482932</v>
      </c>
      <c r="M188" s="103">
        <v>20344031</v>
      </c>
      <c r="N188" s="103">
        <v>19647060</v>
      </c>
      <c r="O188" s="113">
        <v>-3.4259238004503589</v>
      </c>
      <c r="P188" s="113">
        <v>100</v>
      </c>
      <c r="Q188" s="103">
        <v>0</v>
      </c>
      <c r="R188" s="103">
        <v>0</v>
      </c>
      <c r="S188" s="113" t="s">
        <v>126</v>
      </c>
      <c r="T188" s="103">
        <v>0</v>
      </c>
      <c r="U188" s="103">
        <v>0</v>
      </c>
      <c r="V188" s="113" t="s">
        <v>126</v>
      </c>
      <c r="W188" s="113" t="s">
        <v>126</v>
      </c>
      <c r="X188" s="103">
        <v>258337.271258878</v>
      </c>
      <c r="Y188" s="103">
        <v>323242.53054674412</v>
      </c>
      <c r="Z188" s="113">
        <v>25.124233515196103</v>
      </c>
      <c r="AA188" s="103">
        <v>2030609.0972068789</v>
      </c>
      <c r="AB188" s="103">
        <v>2649332.8379400629</v>
      </c>
      <c r="AC188" s="113">
        <v>30.469859589629735</v>
      </c>
      <c r="AD188" s="113">
        <v>100</v>
      </c>
    </row>
    <row r="189" spans="1:30">
      <c r="A189" s="94"/>
      <c r="B189" s="94" t="s">
        <v>5</v>
      </c>
      <c r="C189" s="96">
        <v>18303.33230797646</v>
      </c>
      <c r="D189" s="96">
        <v>14823.41296087885</v>
      </c>
      <c r="E189" s="113">
        <v>-19.01249066860402</v>
      </c>
      <c r="F189" s="96">
        <v>158811.71150177994</v>
      </c>
      <c r="G189" s="96">
        <v>163965.40910823265</v>
      </c>
      <c r="H189" s="113">
        <v>3.2451621846509404</v>
      </c>
      <c r="I189" s="113">
        <v>100</v>
      </c>
      <c r="J189" s="103">
        <v>377</v>
      </c>
      <c r="K189" s="103">
        <v>587</v>
      </c>
      <c r="L189" s="113">
        <v>55.7029177718833</v>
      </c>
      <c r="M189" s="103">
        <v>2032</v>
      </c>
      <c r="N189" s="103">
        <v>2696</v>
      </c>
      <c r="O189" s="113">
        <v>32.677165354330718</v>
      </c>
      <c r="P189" s="113">
        <v>100</v>
      </c>
      <c r="Q189" s="103">
        <v>15564193</v>
      </c>
      <c r="R189" s="103">
        <v>11054635</v>
      </c>
      <c r="S189" s="113">
        <v>-28.97392752711303</v>
      </c>
      <c r="T189" s="103">
        <v>150808236.398</v>
      </c>
      <c r="U189" s="103">
        <v>127049133</v>
      </c>
      <c r="V189" s="113">
        <v>-15.754513125726799</v>
      </c>
      <c r="W189" s="113">
        <v>100</v>
      </c>
      <c r="X189" s="103">
        <v>168174.77031115806</v>
      </c>
      <c r="Y189" s="103">
        <v>180885.13520523519</v>
      </c>
      <c r="Z189" s="113">
        <v>7.5578309817580402</v>
      </c>
      <c r="AA189" s="103">
        <v>1658426.8203523243</v>
      </c>
      <c r="AB189" s="103">
        <v>1811247.2898830802</v>
      </c>
      <c r="AC189" s="113">
        <v>9.2147852202661529</v>
      </c>
      <c r="AD189" s="113">
        <v>100</v>
      </c>
    </row>
    <row r="190" spans="1:30">
      <c r="A190" s="94"/>
      <c r="B190" s="94" t="s">
        <v>6</v>
      </c>
      <c r="C190" s="96">
        <v>1319.1011182493337</v>
      </c>
      <c r="D190" s="96">
        <v>99.594797074000041</v>
      </c>
      <c r="E190" s="113">
        <v>-92.44979814692455</v>
      </c>
      <c r="F190" s="96">
        <v>3672.4456078080011</v>
      </c>
      <c r="G190" s="96">
        <v>2149.7414562150002</v>
      </c>
      <c r="H190" s="113">
        <v>-41.462946336239092</v>
      </c>
      <c r="I190" s="113">
        <v>100</v>
      </c>
      <c r="J190" s="103">
        <v>360</v>
      </c>
      <c r="K190" s="103">
        <v>399</v>
      </c>
      <c r="L190" s="113">
        <v>10.833333333333339</v>
      </c>
      <c r="M190" s="103">
        <v>3380</v>
      </c>
      <c r="N190" s="103">
        <v>3993</v>
      </c>
      <c r="O190" s="113">
        <v>18.136094674556212</v>
      </c>
      <c r="P190" s="113">
        <v>100</v>
      </c>
      <c r="Q190" s="103">
        <v>599579</v>
      </c>
      <c r="R190" s="103">
        <v>1045702</v>
      </c>
      <c r="S190" s="113">
        <v>74.406041572503369</v>
      </c>
      <c r="T190" s="103">
        <v>5134354</v>
      </c>
      <c r="U190" s="103">
        <v>8103422</v>
      </c>
      <c r="V190" s="113">
        <v>57.827489105737541</v>
      </c>
      <c r="W190" s="113">
        <v>100</v>
      </c>
      <c r="X190" s="103">
        <v>7650.6282195999938</v>
      </c>
      <c r="Y190" s="103">
        <v>9636.4205932000023</v>
      </c>
      <c r="Z190" s="113">
        <v>25.955938736019689</v>
      </c>
      <c r="AA190" s="103">
        <v>68011.37407250001</v>
      </c>
      <c r="AB190" s="103">
        <v>91465.122978700005</v>
      </c>
      <c r="AC190" s="113">
        <v>34.485039048319102</v>
      </c>
      <c r="AD190" s="113">
        <v>100</v>
      </c>
    </row>
    <row r="191" spans="1:30">
      <c r="A191" s="94"/>
      <c r="B191" s="94" t="s">
        <v>25</v>
      </c>
      <c r="C191" s="96">
        <v>766.67752581657294</v>
      </c>
      <c r="D191" s="96">
        <v>1142.1715845946285</v>
      </c>
      <c r="E191" s="113">
        <v>48.976792214969954</v>
      </c>
      <c r="F191" s="96">
        <v>8506.8767034034299</v>
      </c>
      <c r="G191" s="96">
        <v>11152.620914474439</v>
      </c>
      <c r="H191" s="113">
        <v>31.101240835105791</v>
      </c>
      <c r="I191" s="113">
        <v>100</v>
      </c>
      <c r="J191" s="103">
        <v>3288</v>
      </c>
      <c r="K191" s="103">
        <v>1998</v>
      </c>
      <c r="L191" s="113">
        <v>-39.233576642335763</v>
      </c>
      <c r="M191" s="103">
        <v>30053</v>
      </c>
      <c r="N191" s="103">
        <v>27505</v>
      </c>
      <c r="O191" s="113">
        <v>-8.4783549063321413</v>
      </c>
      <c r="P191" s="113">
        <v>100</v>
      </c>
      <c r="Q191" s="103">
        <v>7772474</v>
      </c>
      <c r="R191" s="103">
        <v>9002194</v>
      </c>
      <c r="S191" s="113">
        <v>15.821474603839135</v>
      </c>
      <c r="T191" s="103">
        <v>93396645</v>
      </c>
      <c r="U191" s="103">
        <v>78996141</v>
      </c>
      <c r="V191" s="113">
        <v>-15.418652350949014</v>
      </c>
      <c r="W191" s="113">
        <v>100</v>
      </c>
      <c r="X191" s="103">
        <v>362683.59483014263</v>
      </c>
      <c r="Y191" s="103">
        <v>406834.73851211427</v>
      </c>
      <c r="Z191" s="113">
        <v>12.173460369126744</v>
      </c>
      <c r="AA191" s="103">
        <v>3341381.0002472</v>
      </c>
      <c r="AB191" s="103">
        <v>3806385.9001941378</v>
      </c>
      <c r="AC191" s="113">
        <v>13.91654827487605</v>
      </c>
      <c r="AD191" s="113">
        <v>100</v>
      </c>
    </row>
    <row r="192" spans="1:30" ht="29.25" customHeight="1">
      <c r="A192" s="135" t="s">
        <v>68</v>
      </c>
      <c r="B192" s="170" t="s">
        <v>67</v>
      </c>
      <c r="C192" s="170"/>
      <c r="D192" s="170"/>
      <c r="E192" s="170"/>
      <c r="F192" s="170"/>
      <c r="G192" s="170"/>
      <c r="H192" s="170"/>
      <c r="I192" s="170"/>
      <c r="J192" s="170"/>
    </row>
    <row r="193" spans="1:25">
      <c r="A193" s="134">
        <v>2</v>
      </c>
      <c r="B193" s="171" t="s">
        <v>66</v>
      </c>
      <c r="C193" s="171"/>
      <c r="D193" s="171"/>
      <c r="E193" s="171"/>
      <c r="F193" s="171"/>
      <c r="G193" s="171"/>
      <c r="H193" s="171"/>
      <c r="I193" s="171"/>
      <c r="J193" s="171"/>
    </row>
    <row r="194" spans="1:25">
      <c r="A194" s="21">
        <v>3</v>
      </c>
      <c r="B194" s="169" t="s">
        <v>113</v>
      </c>
      <c r="C194" s="169"/>
      <c r="D194" s="169"/>
      <c r="E194" s="169"/>
      <c r="F194" s="169"/>
      <c r="G194" s="169"/>
      <c r="H194" s="169"/>
      <c r="I194" s="169"/>
      <c r="Y194" s="156"/>
    </row>
  </sheetData>
  <mergeCells count="11">
    <mergeCell ref="B194:I194"/>
    <mergeCell ref="B192:J192"/>
    <mergeCell ref="B193:J193"/>
    <mergeCell ref="Y1:AD1"/>
    <mergeCell ref="A2:A3"/>
    <mergeCell ref="B2:B3"/>
    <mergeCell ref="C2:I2"/>
    <mergeCell ref="J2:P2"/>
    <mergeCell ref="Q2:W2"/>
    <mergeCell ref="X2:AD2"/>
    <mergeCell ref="B1:W1"/>
  </mergeCells>
  <pageMargins left="0.70866141732283472" right="0.70866141732283472" top="0.74803149606299213" bottom="0.74803149606299213" header="0.31496062992125984" footer="0.31496062992125984"/>
  <pageSetup paperSize="9" scale="60" fitToHeight="0" orientation="landscape" r:id="rId1"/>
  <rowBreaks count="3" manualBreakCount="3">
    <brk id="52" max="29" man="1"/>
    <brk id="101" max="29" man="1"/>
    <brk id="150" max="29" man="1"/>
  </rowBreaks>
  <colBreaks count="1" manualBreakCount="1">
    <brk id="16" max="19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98"/>
  <sheetViews>
    <sheetView workbookViewId="0">
      <pane xSplit="2" ySplit="11" topLeftCell="C180" activePane="bottomRight" state="frozen"/>
      <selection pane="topRight" activeCell="C1" sqref="C1"/>
      <selection pane="bottomLeft" activeCell="A5" sqref="A5"/>
      <selection pane="bottomRight" activeCell="J18" sqref="J18"/>
    </sheetView>
  </sheetViews>
  <sheetFormatPr defaultColWidth="9.140625" defaultRowHeight="12.75"/>
  <cols>
    <col min="1" max="1" width="6.42578125" style="127" customWidth="1"/>
    <col min="2" max="2" width="31.5703125" style="127" customWidth="1"/>
    <col min="3" max="4" width="11.7109375" style="127" customWidth="1"/>
    <col min="5" max="5" width="11.85546875" style="127" customWidth="1"/>
    <col min="6" max="26" width="11.7109375" style="127" customWidth="1"/>
    <col min="27" max="28" width="12.7109375" style="127" customWidth="1"/>
    <col min="29" max="30" width="11.7109375" style="127" customWidth="1"/>
    <col min="31" max="16384" width="9.140625" style="127"/>
  </cols>
  <sheetData>
    <row r="1" spans="1:39" ht="15">
      <c r="A1" s="176" t="s">
        <v>125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36"/>
      <c r="P1" s="136"/>
      <c r="Q1" s="136"/>
      <c r="Y1" s="178" t="s">
        <v>69</v>
      </c>
      <c r="Z1" s="178"/>
      <c r="AA1" s="178"/>
      <c r="AB1" s="178"/>
      <c r="AC1" s="178"/>
      <c r="AD1" s="178"/>
    </row>
    <row r="2" spans="1:39" ht="41.25" customHeight="1">
      <c r="A2" s="179" t="s">
        <v>70</v>
      </c>
      <c r="B2" s="179" t="s">
        <v>71</v>
      </c>
      <c r="C2" s="181" t="s">
        <v>72</v>
      </c>
      <c r="D2" s="182"/>
      <c r="E2" s="182"/>
      <c r="F2" s="182"/>
      <c r="G2" s="182"/>
      <c r="H2" s="182"/>
      <c r="I2" s="183"/>
      <c r="J2" s="181" t="s">
        <v>73</v>
      </c>
      <c r="K2" s="182"/>
      <c r="L2" s="182"/>
      <c r="M2" s="182"/>
      <c r="N2" s="182"/>
      <c r="O2" s="182"/>
      <c r="P2" s="183"/>
      <c r="Q2" s="184" t="s">
        <v>74</v>
      </c>
      <c r="R2" s="185"/>
      <c r="S2" s="185"/>
      <c r="T2" s="185"/>
      <c r="U2" s="185"/>
      <c r="V2" s="185"/>
      <c r="W2" s="186"/>
      <c r="X2" s="184" t="s">
        <v>75</v>
      </c>
      <c r="Y2" s="185"/>
      <c r="Z2" s="185"/>
      <c r="AA2" s="185"/>
      <c r="AB2" s="185"/>
      <c r="AC2" s="185"/>
      <c r="AD2" s="186"/>
    </row>
    <row r="3" spans="1:39" s="138" customFormat="1" ht="39.75" customHeight="1">
      <c r="A3" s="180"/>
      <c r="B3" s="180"/>
      <c r="C3" s="137" t="s">
        <v>123</v>
      </c>
      <c r="D3" s="137" t="s">
        <v>121</v>
      </c>
      <c r="E3" s="128" t="s">
        <v>76</v>
      </c>
      <c r="F3" s="89" t="s">
        <v>124</v>
      </c>
      <c r="G3" s="89" t="s">
        <v>122</v>
      </c>
      <c r="H3" s="128" t="s">
        <v>76</v>
      </c>
      <c r="I3" s="128" t="s">
        <v>77</v>
      </c>
      <c r="J3" s="137" t="s">
        <v>123</v>
      </c>
      <c r="K3" s="137" t="s">
        <v>121</v>
      </c>
      <c r="L3" s="128" t="s">
        <v>76</v>
      </c>
      <c r="M3" s="89" t="s">
        <v>124</v>
      </c>
      <c r="N3" s="89" t="s">
        <v>122</v>
      </c>
      <c r="O3" s="128" t="s">
        <v>76</v>
      </c>
      <c r="P3" s="128" t="s">
        <v>77</v>
      </c>
      <c r="Q3" s="137" t="s">
        <v>123</v>
      </c>
      <c r="R3" s="137" t="s">
        <v>121</v>
      </c>
      <c r="S3" s="128" t="s">
        <v>76</v>
      </c>
      <c r="T3" s="89" t="s">
        <v>124</v>
      </c>
      <c r="U3" s="89" t="s">
        <v>122</v>
      </c>
      <c r="V3" s="128" t="s">
        <v>76</v>
      </c>
      <c r="W3" s="128" t="s">
        <v>77</v>
      </c>
      <c r="X3" s="137" t="s">
        <v>123</v>
      </c>
      <c r="Y3" s="137" t="s">
        <v>121</v>
      </c>
      <c r="Z3" s="128" t="s">
        <v>76</v>
      </c>
      <c r="AA3" s="89" t="s">
        <v>124</v>
      </c>
      <c r="AB3" s="89" t="s">
        <v>122</v>
      </c>
      <c r="AC3" s="128" t="s">
        <v>76</v>
      </c>
      <c r="AD3" s="128" t="s">
        <v>77</v>
      </c>
    </row>
    <row r="4" spans="1:39" ht="15">
      <c r="A4" s="143">
        <v>1</v>
      </c>
      <c r="B4" s="139" t="s">
        <v>84</v>
      </c>
      <c r="C4" s="101">
        <v>4.3672317832927599</v>
      </c>
      <c r="D4" s="101">
        <v>4.3580589119074808</v>
      </c>
      <c r="E4" s="110">
        <v>-0.21003857455815789</v>
      </c>
      <c r="F4" s="101">
        <v>21.715635823293706</v>
      </c>
      <c r="G4" s="101">
        <v>48.62729226330439</v>
      </c>
      <c r="H4" s="110">
        <v>123.92755459245346</v>
      </c>
      <c r="I4" s="110">
        <v>1.5895838632317839E-2</v>
      </c>
      <c r="J4" s="102">
        <v>12</v>
      </c>
      <c r="K4" s="102">
        <v>200</v>
      </c>
      <c r="L4" s="110">
        <v>1566.6666666666667</v>
      </c>
      <c r="M4" s="101">
        <v>20</v>
      </c>
      <c r="N4" s="101">
        <v>1502</v>
      </c>
      <c r="O4" s="110">
        <v>7409.9999999999991</v>
      </c>
      <c r="P4" s="110">
        <v>7.2462680875077087E-3</v>
      </c>
      <c r="Q4" s="102">
        <v>50878</v>
      </c>
      <c r="R4" s="102">
        <v>41790</v>
      </c>
      <c r="S4" s="110">
        <v>-17.862337356028146</v>
      </c>
      <c r="T4" s="102">
        <v>284287</v>
      </c>
      <c r="U4" s="102">
        <v>539910</v>
      </c>
      <c r="V4" s="110">
        <v>89.917231530108666</v>
      </c>
      <c r="W4" s="110">
        <v>0.25211920972892593</v>
      </c>
      <c r="X4" s="101">
        <v>369.33144999999996</v>
      </c>
      <c r="Y4" s="101">
        <v>559.08663647243907</v>
      </c>
      <c r="Z4" s="110">
        <v>51.378020060961262</v>
      </c>
      <c r="AA4" s="101">
        <v>1755.7095499999998</v>
      </c>
      <c r="AB4" s="101">
        <v>5558.8562833724391</v>
      </c>
      <c r="AC4" s="110">
        <v>216.61593931481659</v>
      </c>
      <c r="AD4" s="110">
        <v>6.6256521534538995E-2</v>
      </c>
      <c r="AE4" s="110"/>
      <c r="AF4" s="110"/>
      <c r="AG4" s="107"/>
      <c r="AH4" s="101"/>
      <c r="AI4" s="110"/>
      <c r="AJ4" s="108"/>
      <c r="AK4" s="101"/>
      <c r="AL4" s="110"/>
      <c r="AM4" s="110"/>
    </row>
    <row r="5" spans="1:39">
      <c r="A5" s="140"/>
      <c r="B5" s="141" t="s">
        <v>79</v>
      </c>
      <c r="C5" s="96">
        <v>0</v>
      </c>
      <c r="D5" s="96">
        <v>0</v>
      </c>
      <c r="E5" s="113" t="s">
        <v>126</v>
      </c>
      <c r="F5" s="96">
        <v>0</v>
      </c>
      <c r="G5" s="96">
        <v>0</v>
      </c>
      <c r="H5" s="113" t="s">
        <v>126</v>
      </c>
      <c r="I5" s="113">
        <v>0</v>
      </c>
      <c r="J5" s="103">
        <v>0</v>
      </c>
      <c r="K5" s="103">
        <v>0</v>
      </c>
      <c r="L5" s="113" t="s">
        <v>126</v>
      </c>
      <c r="M5" s="103">
        <v>0</v>
      </c>
      <c r="N5" s="103">
        <v>0</v>
      </c>
      <c r="O5" s="113" t="s">
        <v>126</v>
      </c>
      <c r="P5" s="113">
        <v>0</v>
      </c>
      <c r="Q5" s="103"/>
      <c r="R5" s="103"/>
      <c r="S5" s="113" t="s">
        <v>126</v>
      </c>
      <c r="T5" s="103"/>
      <c r="U5" s="103"/>
      <c r="V5" s="113" t="s">
        <v>126</v>
      </c>
      <c r="W5" s="113" t="s">
        <v>126</v>
      </c>
      <c r="X5" s="96">
        <v>0</v>
      </c>
      <c r="Y5" s="96">
        <v>0</v>
      </c>
      <c r="Z5" s="113" t="s">
        <v>126</v>
      </c>
      <c r="AA5" s="96">
        <v>0</v>
      </c>
      <c r="AB5" s="96">
        <v>0</v>
      </c>
      <c r="AC5" s="113" t="s">
        <v>126</v>
      </c>
      <c r="AD5" s="113">
        <v>0</v>
      </c>
      <c r="AE5" s="113"/>
      <c r="AF5" s="113"/>
      <c r="AG5" s="107"/>
      <c r="AH5" s="96"/>
      <c r="AI5" s="113"/>
      <c r="AJ5" s="108"/>
      <c r="AK5" s="96"/>
      <c r="AL5" s="113"/>
      <c r="AM5" s="113"/>
    </row>
    <row r="6" spans="1:39">
      <c r="A6" s="140"/>
      <c r="B6" s="141" t="s">
        <v>80</v>
      </c>
      <c r="C6" s="96">
        <v>4.2294536744444444E-2</v>
      </c>
      <c r="D6" s="96">
        <v>0.34826433100000004</v>
      </c>
      <c r="E6" s="113">
        <v>723.42628104502398</v>
      </c>
      <c r="F6" s="96">
        <v>4.3122368000000008E-2</v>
      </c>
      <c r="G6" s="96">
        <v>2.7329967259999988</v>
      </c>
      <c r="H6" s="113">
        <v>6237.7705185392369</v>
      </c>
      <c r="I6" s="113">
        <v>3.0703660216454382E-3</v>
      </c>
      <c r="J6" s="103">
        <v>11</v>
      </c>
      <c r="K6" s="103">
        <v>200</v>
      </c>
      <c r="L6" s="113">
        <v>1718.1818181818182</v>
      </c>
      <c r="M6" s="103">
        <v>13</v>
      </c>
      <c r="N6" s="103">
        <v>1494</v>
      </c>
      <c r="O6" s="113">
        <v>11392.307692307691</v>
      </c>
      <c r="P6" s="113">
        <v>7.604191161425679E-3</v>
      </c>
      <c r="Q6" s="103"/>
      <c r="R6" s="103"/>
      <c r="S6" s="113" t="s">
        <v>126</v>
      </c>
      <c r="T6" s="103"/>
      <c r="U6" s="103"/>
      <c r="V6" s="113" t="s">
        <v>126</v>
      </c>
      <c r="W6" s="113" t="s">
        <v>126</v>
      </c>
      <c r="X6" s="96">
        <v>34.950000000000003</v>
      </c>
      <c r="Y6" s="96">
        <v>281.2</v>
      </c>
      <c r="Z6" s="113">
        <v>704.57796852646629</v>
      </c>
      <c r="AA6" s="96">
        <v>37.5</v>
      </c>
      <c r="AB6" s="96">
        <v>2266.96</v>
      </c>
      <c r="AC6" s="113">
        <v>5945.2266666666665</v>
      </c>
      <c r="AD6" s="113">
        <v>8.5567202713670007E-2</v>
      </c>
      <c r="AE6" s="113"/>
      <c r="AF6" s="113"/>
      <c r="AG6" s="107"/>
      <c r="AH6" s="96"/>
      <c r="AI6" s="113"/>
      <c r="AJ6" s="108"/>
      <c r="AK6" s="96"/>
      <c r="AL6" s="113"/>
      <c r="AM6" s="113"/>
    </row>
    <row r="7" spans="1:39">
      <c r="A7" s="140"/>
      <c r="B7" s="141" t="s">
        <v>81</v>
      </c>
      <c r="C7" s="96">
        <v>4.3249372465483154</v>
      </c>
      <c r="D7" s="96">
        <v>4.0097945809074806</v>
      </c>
      <c r="E7" s="113">
        <v>-7.2866413470472065</v>
      </c>
      <c r="F7" s="96">
        <v>21.672513455293707</v>
      </c>
      <c r="G7" s="96">
        <v>45.894295537304394</v>
      </c>
      <c r="H7" s="113">
        <v>111.76268101978866</v>
      </c>
      <c r="I7" s="113">
        <v>2.7990230248509201E-2</v>
      </c>
      <c r="J7" s="103">
        <v>1</v>
      </c>
      <c r="K7" s="103">
        <v>0</v>
      </c>
      <c r="L7" s="113">
        <v>-100</v>
      </c>
      <c r="M7" s="103">
        <v>7</v>
      </c>
      <c r="N7" s="103">
        <v>8</v>
      </c>
      <c r="O7" s="113">
        <v>14.285714285714279</v>
      </c>
      <c r="P7" s="113">
        <v>0.29673590504451042</v>
      </c>
      <c r="Q7" s="103">
        <v>50878</v>
      </c>
      <c r="R7" s="103">
        <v>41790</v>
      </c>
      <c r="S7" s="113">
        <v>-17.862337356028146</v>
      </c>
      <c r="T7" s="103">
        <v>284287</v>
      </c>
      <c r="U7" s="103">
        <v>539910</v>
      </c>
      <c r="V7" s="113">
        <v>89.917231530108666</v>
      </c>
      <c r="W7" s="113">
        <v>0.42496157765988063</v>
      </c>
      <c r="X7" s="96">
        <v>334.38144999999997</v>
      </c>
      <c r="Y7" s="96">
        <v>277.88663647243908</v>
      </c>
      <c r="Z7" s="113">
        <v>-16.895319261149478</v>
      </c>
      <c r="AA7" s="96">
        <v>1718.2095499999998</v>
      </c>
      <c r="AB7" s="96">
        <v>3291.896283372439</v>
      </c>
      <c r="AC7" s="113">
        <v>91.588754897354605</v>
      </c>
      <c r="AD7" s="113">
        <v>0.18174747875454036</v>
      </c>
      <c r="AE7" s="113"/>
      <c r="AF7" s="113"/>
      <c r="AG7" s="107"/>
      <c r="AH7" s="96"/>
      <c r="AI7" s="113"/>
      <c r="AJ7" s="108"/>
      <c r="AK7" s="96"/>
      <c r="AL7" s="113"/>
      <c r="AM7" s="113"/>
    </row>
    <row r="8" spans="1:39">
      <c r="A8" s="140"/>
      <c r="B8" s="141" t="s">
        <v>82</v>
      </c>
      <c r="C8" s="96">
        <v>0</v>
      </c>
      <c r="D8" s="96">
        <v>0</v>
      </c>
      <c r="E8" s="113" t="s">
        <v>126</v>
      </c>
      <c r="F8" s="96">
        <v>0</v>
      </c>
      <c r="G8" s="96">
        <v>0</v>
      </c>
      <c r="H8" s="113" t="s">
        <v>126</v>
      </c>
      <c r="I8" s="113">
        <v>0</v>
      </c>
      <c r="J8" s="103">
        <v>0</v>
      </c>
      <c r="K8" s="103">
        <v>0</v>
      </c>
      <c r="L8" s="113" t="s">
        <v>126</v>
      </c>
      <c r="M8" s="103"/>
      <c r="N8" s="103"/>
      <c r="O8" s="113" t="s">
        <v>126</v>
      </c>
      <c r="P8" s="113">
        <v>0</v>
      </c>
      <c r="Q8" s="106">
        <v>0</v>
      </c>
      <c r="R8" s="106">
        <v>0</v>
      </c>
      <c r="S8" s="113" t="s">
        <v>126</v>
      </c>
      <c r="T8" s="106">
        <v>0</v>
      </c>
      <c r="U8" s="106">
        <v>0</v>
      </c>
      <c r="V8" s="113" t="s">
        <v>126</v>
      </c>
      <c r="W8" s="113">
        <v>0</v>
      </c>
      <c r="X8" s="96">
        <v>0</v>
      </c>
      <c r="Y8" s="96">
        <v>0</v>
      </c>
      <c r="Z8" s="113" t="s">
        <v>126</v>
      </c>
      <c r="AA8" s="96">
        <v>0</v>
      </c>
      <c r="AB8" s="96">
        <v>0</v>
      </c>
      <c r="AC8" s="113" t="s">
        <v>126</v>
      </c>
      <c r="AD8" s="113">
        <v>0</v>
      </c>
      <c r="AE8" s="113"/>
      <c r="AF8" s="113"/>
      <c r="AG8" s="107"/>
      <c r="AH8" s="96"/>
      <c r="AI8" s="113"/>
      <c r="AJ8" s="108"/>
      <c r="AK8" s="96"/>
      <c r="AL8" s="113"/>
      <c r="AM8" s="113"/>
    </row>
    <row r="9" spans="1:39" ht="15">
      <c r="A9" s="140"/>
      <c r="B9" s="142" t="s">
        <v>83</v>
      </c>
      <c r="C9" s="96">
        <v>0</v>
      </c>
      <c r="D9" s="96">
        <v>0</v>
      </c>
      <c r="E9" s="113" t="s">
        <v>126</v>
      </c>
      <c r="F9" s="96">
        <v>0</v>
      </c>
      <c r="G9" s="96">
        <v>0</v>
      </c>
      <c r="H9" s="113" t="s">
        <v>126</v>
      </c>
      <c r="I9" s="113">
        <v>0</v>
      </c>
      <c r="J9" s="103">
        <v>0</v>
      </c>
      <c r="K9" s="103">
        <v>0</v>
      </c>
      <c r="L9" s="113" t="s">
        <v>126</v>
      </c>
      <c r="M9" s="103">
        <v>0</v>
      </c>
      <c r="N9" s="103">
        <v>0</v>
      </c>
      <c r="O9" s="113" t="s">
        <v>126</v>
      </c>
      <c r="P9" s="113">
        <v>0</v>
      </c>
      <c r="Q9" s="106">
        <v>0</v>
      </c>
      <c r="R9" s="106">
        <v>0</v>
      </c>
      <c r="S9" s="113" t="s">
        <v>126</v>
      </c>
      <c r="T9" s="106">
        <v>0</v>
      </c>
      <c r="U9" s="106">
        <v>0</v>
      </c>
      <c r="V9" s="113" t="s">
        <v>126</v>
      </c>
      <c r="W9" s="113">
        <v>0</v>
      </c>
      <c r="X9" s="96">
        <v>0</v>
      </c>
      <c r="Y9" s="96">
        <v>0</v>
      </c>
      <c r="Z9" s="113" t="s">
        <v>126</v>
      </c>
      <c r="AA9" s="96">
        <v>0</v>
      </c>
      <c r="AB9" s="96">
        <v>0</v>
      </c>
      <c r="AC9" s="113" t="s">
        <v>126</v>
      </c>
      <c r="AD9" s="113">
        <v>0</v>
      </c>
      <c r="AE9" s="113"/>
      <c r="AF9" s="113"/>
      <c r="AG9" s="107"/>
      <c r="AH9" s="96"/>
      <c r="AI9" s="113"/>
      <c r="AJ9" s="108"/>
      <c r="AK9" s="96"/>
      <c r="AL9" s="113"/>
      <c r="AM9" s="113"/>
    </row>
    <row r="10" spans="1:39" ht="15">
      <c r="A10" s="140"/>
      <c r="B10" s="142"/>
      <c r="C10" s="104"/>
      <c r="D10" s="104"/>
      <c r="E10" s="113"/>
      <c r="F10" s="104"/>
      <c r="G10" s="104"/>
      <c r="H10" s="113"/>
      <c r="I10" s="110"/>
      <c r="J10" s="103"/>
      <c r="K10" s="103"/>
      <c r="L10" s="113"/>
      <c r="M10" s="103"/>
      <c r="N10" s="103"/>
      <c r="O10" s="113"/>
      <c r="P10" s="113"/>
      <c r="Q10" s="103"/>
      <c r="R10" s="103"/>
      <c r="S10" s="113"/>
      <c r="T10" s="103"/>
      <c r="U10" s="103"/>
      <c r="V10" s="113"/>
      <c r="W10" s="113"/>
      <c r="X10" s="96"/>
      <c r="Y10" s="96"/>
      <c r="Z10" s="113"/>
      <c r="AA10" s="96"/>
      <c r="AB10" s="96"/>
      <c r="AC10" s="113"/>
      <c r="AD10" s="113"/>
      <c r="AE10" s="113"/>
      <c r="AF10" s="113"/>
      <c r="AG10" s="107"/>
      <c r="AH10" s="96"/>
      <c r="AI10" s="113"/>
      <c r="AJ10" s="108"/>
      <c r="AK10" s="96"/>
      <c r="AL10" s="113"/>
      <c r="AM10" s="113"/>
    </row>
    <row r="11" spans="1:39" s="138" customFormat="1" ht="15">
      <c r="A11" s="13">
        <v>2</v>
      </c>
      <c r="B11" s="139" t="s">
        <v>78</v>
      </c>
      <c r="C11" s="101">
        <v>504.00130077779698</v>
      </c>
      <c r="D11" s="101">
        <v>616.35013431606319</v>
      </c>
      <c r="E11" s="110">
        <v>22.291377693844151</v>
      </c>
      <c r="F11" s="101">
        <v>5780.1022709048657</v>
      </c>
      <c r="G11" s="101">
        <v>7665.288348938293</v>
      </c>
      <c r="H11" s="110">
        <v>32.615099001324488</v>
      </c>
      <c r="I11" s="110">
        <v>2.5057160494387207</v>
      </c>
      <c r="J11" s="102">
        <v>24547</v>
      </c>
      <c r="K11" s="102">
        <v>30054</v>
      </c>
      <c r="L11" s="110">
        <v>22.434513382490739</v>
      </c>
      <c r="M11" s="101">
        <v>215987</v>
      </c>
      <c r="N11" s="101">
        <v>274982</v>
      </c>
      <c r="O11" s="110">
        <v>27.314143906809196</v>
      </c>
      <c r="P11" s="110">
        <v>1.3266266919034919</v>
      </c>
      <c r="Q11" s="102">
        <v>400313</v>
      </c>
      <c r="R11" s="102">
        <v>441767</v>
      </c>
      <c r="S11" s="110">
        <v>10.355396901924241</v>
      </c>
      <c r="T11" s="102">
        <v>4107871.398</v>
      </c>
      <c r="U11" s="102">
        <v>3939763</v>
      </c>
      <c r="V11" s="110">
        <v>-4.0923481217510105</v>
      </c>
      <c r="W11" s="110">
        <v>1.8397324259214729</v>
      </c>
      <c r="X11" s="101">
        <v>43180.393859072006</v>
      </c>
      <c r="Y11" s="101">
        <v>32137.187882670984</v>
      </c>
      <c r="Z11" s="110">
        <v>-25.574583716032716</v>
      </c>
      <c r="AA11" s="101">
        <v>258949.22224087705</v>
      </c>
      <c r="AB11" s="101">
        <v>363810.94205390301</v>
      </c>
      <c r="AC11" s="110">
        <v>40.495089695802442</v>
      </c>
      <c r="AD11" s="110">
        <v>4.3362962249622061</v>
      </c>
      <c r="AE11" s="110"/>
      <c r="AF11" s="110"/>
      <c r="AG11" s="101"/>
      <c r="AH11" s="101"/>
      <c r="AI11" s="110"/>
      <c r="AJ11" s="101"/>
      <c r="AK11" s="101"/>
      <c r="AL11" s="110"/>
      <c r="AM11" s="110"/>
    </row>
    <row r="12" spans="1:39">
      <c r="A12" s="140"/>
      <c r="B12" s="141" t="s">
        <v>79</v>
      </c>
      <c r="C12" s="96">
        <v>51.027964894749999</v>
      </c>
      <c r="D12" s="96">
        <v>34.119722689919996</v>
      </c>
      <c r="E12" s="113">
        <v>-33.135246995847965</v>
      </c>
      <c r="F12" s="96">
        <v>332.84234207244924</v>
      </c>
      <c r="G12" s="96">
        <v>499.10218561738725</v>
      </c>
      <c r="H12" s="113">
        <v>49.951530358102247</v>
      </c>
      <c r="I12" s="113">
        <v>1.2593338786190398</v>
      </c>
      <c r="J12" s="103">
        <v>470</v>
      </c>
      <c r="K12" s="103">
        <v>384</v>
      </c>
      <c r="L12" s="113">
        <v>-18.297872340425535</v>
      </c>
      <c r="M12" s="103">
        <v>4803</v>
      </c>
      <c r="N12" s="103">
        <v>5482</v>
      </c>
      <c r="O12" s="113">
        <v>14.136997709764731</v>
      </c>
      <c r="P12" s="113">
        <v>0.52376279908317624</v>
      </c>
      <c r="Q12" s="103"/>
      <c r="R12" s="103"/>
      <c r="S12" s="113" t="s">
        <v>126</v>
      </c>
      <c r="T12" s="103"/>
      <c r="U12" s="103"/>
      <c r="V12" s="113" t="s">
        <v>126</v>
      </c>
      <c r="W12" s="113" t="s">
        <v>126</v>
      </c>
      <c r="X12" s="96">
        <v>79.758818762000203</v>
      </c>
      <c r="Y12" s="96">
        <v>38.804455122000093</v>
      </c>
      <c r="Z12" s="113">
        <v>-51.347755991983355</v>
      </c>
      <c r="AA12" s="96">
        <v>489.9492910710004</v>
      </c>
      <c r="AB12" s="96">
        <v>573.57444175599983</v>
      </c>
      <c r="AC12" s="113">
        <v>17.068123621977229</v>
      </c>
      <c r="AD12" s="113">
        <v>1.82264022994775</v>
      </c>
      <c r="AE12" s="113"/>
      <c r="AF12" s="113"/>
      <c r="AG12" s="96"/>
      <c r="AH12" s="96"/>
      <c r="AI12" s="113"/>
      <c r="AJ12" s="96"/>
      <c r="AK12" s="96"/>
      <c r="AL12" s="113"/>
      <c r="AM12" s="113"/>
    </row>
    <row r="13" spans="1:39">
      <c r="A13" s="140"/>
      <c r="B13" s="141" t="s">
        <v>80</v>
      </c>
      <c r="C13" s="96">
        <v>261.02784643004702</v>
      </c>
      <c r="D13" s="96">
        <v>395.56043685814331</v>
      </c>
      <c r="E13" s="113">
        <v>51.539554981598393</v>
      </c>
      <c r="F13" s="96">
        <v>2207.1527308324144</v>
      </c>
      <c r="G13" s="96">
        <v>2943.6461274239055</v>
      </c>
      <c r="H13" s="113">
        <v>33.368483580822563</v>
      </c>
      <c r="I13" s="113">
        <v>3.3070186156492829</v>
      </c>
      <c r="J13" s="103">
        <v>24014</v>
      </c>
      <c r="K13" s="103">
        <v>29642</v>
      </c>
      <c r="L13" s="113">
        <v>23.436328808195217</v>
      </c>
      <c r="M13" s="103">
        <v>210839</v>
      </c>
      <c r="N13" s="103">
        <v>269124</v>
      </c>
      <c r="O13" s="113">
        <v>27.64431627924624</v>
      </c>
      <c r="P13" s="113">
        <v>1.3697927323477406</v>
      </c>
      <c r="Q13" s="103"/>
      <c r="R13" s="103"/>
      <c r="S13" s="113" t="s">
        <v>126</v>
      </c>
      <c r="T13" s="103"/>
      <c r="U13" s="103"/>
      <c r="V13" s="113" t="s">
        <v>126</v>
      </c>
      <c r="W13" s="113" t="s">
        <v>126</v>
      </c>
      <c r="X13" s="96">
        <v>4376.5490001689996</v>
      </c>
      <c r="Y13" s="96">
        <v>9085.1280336079817</v>
      </c>
      <c r="Z13" s="113">
        <v>107.58657182307707</v>
      </c>
      <c r="AA13" s="96">
        <v>36086.750403496997</v>
      </c>
      <c r="AB13" s="96">
        <v>75398.306990477984</v>
      </c>
      <c r="AC13" s="113">
        <v>108.9362609473739</v>
      </c>
      <c r="AD13" s="113">
        <v>2.8459356223849346</v>
      </c>
      <c r="AE13" s="113"/>
      <c r="AF13" s="113"/>
      <c r="AG13" s="96"/>
      <c r="AH13" s="96"/>
      <c r="AI13" s="113"/>
      <c r="AJ13" s="96"/>
      <c r="AK13" s="96"/>
      <c r="AL13" s="113"/>
      <c r="AM13" s="113"/>
    </row>
    <row r="14" spans="1:39">
      <c r="A14" s="140"/>
      <c r="B14" s="141" t="s">
        <v>81</v>
      </c>
      <c r="C14" s="96">
        <v>165.27968009399999</v>
      </c>
      <c r="D14" s="96">
        <v>174.64809006400003</v>
      </c>
      <c r="E14" s="113">
        <v>5.6682164224131526</v>
      </c>
      <c r="F14" s="96">
        <v>3051.2698014440016</v>
      </c>
      <c r="G14" s="96">
        <v>4062.330795803</v>
      </c>
      <c r="H14" s="113">
        <v>33.1357454486823</v>
      </c>
      <c r="I14" s="113">
        <v>2.4775535388207879</v>
      </c>
      <c r="J14" s="103">
        <v>15</v>
      </c>
      <c r="K14" s="103">
        <v>9</v>
      </c>
      <c r="L14" s="113">
        <v>-40</v>
      </c>
      <c r="M14" s="103">
        <v>79</v>
      </c>
      <c r="N14" s="103">
        <v>143</v>
      </c>
      <c r="O14" s="113">
        <v>81.012658227848107</v>
      </c>
      <c r="P14" s="113">
        <v>5.3041543026706233</v>
      </c>
      <c r="Q14" s="103">
        <v>277306</v>
      </c>
      <c r="R14" s="103">
        <v>377436</v>
      </c>
      <c r="S14" s="113">
        <v>36.108126041268498</v>
      </c>
      <c r="T14" s="103">
        <v>3432569.398</v>
      </c>
      <c r="U14" s="103">
        <v>3113826</v>
      </c>
      <c r="V14" s="113">
        <v>-9.285854444362208</v>
      </c>
      <c r="W14" s="113">
        <v>2.4508833129935645</v>
      </c>
      <c r="X14" s="96">
        <v>3888.8908980170004</v>
      </c>
      <c r="Y14" s="96">
        <v>6170.712246479</v>
      </c>
      <c r="Z14" s="113">
        <v>58.675375789676501</v>
      </c>
      <c r="AA14" s="96">
        <v>38429.114113243042</v>
      </c>
      <c r="AB14" s="96">
        <v>47734.442821551005</v>
      </c>
      <c r="AC14" s="113">
        <v>24.214268070002841</v>
      </c>
      <c r="AD14" s="113">
        <v>2.6354459210609704</v>
      </c>
      <c r="AE14" s="113"/>
      <c r="AF14" s="113"/>
      <c r="AG14" s="96"/>
      <c r="AH14" s="96"/>
      <c r="AI14" s="113"/>
      <c r="AJ14" s="96"/>
      <c r="AK14" s="96"/>
      <c r="AL14" s="113"/>
      <c r="AM14" s="113"/>
    </row>
    <row r="15" spans="1:39">
      <c r="A15" s="140"/>
      <c r="B15" s="141" t="s">
        <v>82</v>
      </c>
      <c r="C15" s="96">
        <v>1.0463126780000001</v>
      </c>
      <c r="D15" s="96">
        <v>0.93526476200000008</v>
      </c>
      <c r="E15" s="113">
        <v>-10.613262969561376</v>
      </c>
      <c r="F15" s="96">
        <v>23.932932886999996</v>
      </c>
      <c r="G15" s="96">
        <v>13.070224798</v>
      </c>
      <c r="H15" s="113">
        <v>-45.388119125593896</v>
      </c>
      <c r="I15" s="113">
        <v>0.60799054510547712</v>
      </c>
      <c r="J15" s="103">
        <v>0</v>
      </c>
      <c r="K15" s="103">
        <v>1</v>
      </c>
      <c r="L15" s="113" t="s">
        <v>126</v>
      </c>
      <c r="M15" s="103">
        <v>1</v>
      </c>
      <c r="N15" s="103">
        <v>1</v>
      </c>
      <c r="O15" s="113">
        <v>0</v>
      </c>
      <c r="P15" s="113">
        <v>2.5043826696719257E-2</v>
      </c>
      <c r="Q15" s="106">
        <v>0</v>
      </c>
      <c r="R15" s="106">
        <v>8</v>
      </c>
      <c r="S15" s="113" t="s">
        <v>126</v>
      </c>
      <c r="T15" s="106">
        <v>145</v>
      </c>
      <c r="U15" s="106">
        <v>8</v>
      </c>
      <c r="V15" s="113">
        <v>-94.482758620689651</v>
      </c>
      <c r="W15" s="113">
        <v>9.8723724372246698E-5</v>
      </c>
      <c r="X15" s="96">
        <v>0</v>
      </c>
      <c r="Y15" s="96">
        <v>0</v>
      </c>
      <c r="Z15" s="113" t="s">
        <v>126</v>
      </c>
      <c r="AA15" s="96">
        <v>0</v>
      </c>
      <c r="AB15" s="96">
        <v>0</v>
      </c>
      <c r="AC15" s="113" t="s">
        <v>126</v>
      </c>
      <c r="AD15" s="113">
        <v>0</v>
      </c>
      <c r="AE15" s="113"/>
      <c r="AF15" s="113"/>
      <c r="AG15" s="96"/>
      <c r="AH15" s="96"/>
      <c r="AI15" s="113"/>
      <c r="AJ15" s="96"/>
      <c r="AK15" s="96"/>
      <c r="AL15" s="113"/>
      <c r="AM15" s="113"/>
    </row>
    <row r="16" spans="1:39" ht="15">
      <c r="A16" s="140"/>
      <c r="B16" s="142" t="s">
        <v>83</v>
      </c>
      <c r="C16" s="96">
        <v>25.619496681000001</v>
      </c>
      <c r="D16" s="96">
        <v>11.086619941999873</v>
      </c>
      <c r="E16" s="113">
        <v>-56.725847974125266</v>
      </c>
      <c r="F16" s="96">
        <v>164.90446366900008</v>
      </c>
      <c r="G16" s="96">
        <v>147.13901529599994</v>
      </c>
      <c r="H16" s="113">
        <v>-10.773176163781317</v>
      </c>
      <c r="I16" s="113">
        <v>1.3193223048138885</v>
      </c>
      <c r="J16" s="103">
        <v>48</v>
      </c>
      <c r="K16" s="103">
        <v>18</v>
      </c>
      <c r="L16" s="113">
        <v>-62.5</v>
      </c>
      <c r="M16" s="103">
        <v>265</v>
      </c>
      <c r="N16" s="103">
        <v>232</v>
      </c>
      <c r="O16" s="113">
        <v>-12.452830188679243</v>
      </c>
      <c r="P16" s="113">
        <v>0.84348300309034718</v>
      </c>
      <c r="Q16" s="106">
        <v>123007</v>
      </c>
      <c r="R16" s="106">
        <v>64323</v>
      </c>
      <c r="S16" s="113">
        <v>-47.707854024567709</v>
      </c>
      <c r="T16" s="106">
        <v>675157</v>
      </c>
      <c r="U16" s="106">
        <v>825929</v>
      </c>
      <c r="V16" s="113">
        <v>22.331398474725141</v>
      </c>
      <c r="W16" s="113">
        <v>1.0455308190307675</v>
      </c>
      <c r="X16" s="96">
        <v>34835.195142124008</v>
      </c>
      <c r="Y16" s="96">
        <v>16842.543147462002</v>
      </c>
      <c r="Z16" s="113">
        <v>-51.650785710411093</v>
      </c>
      <c r="AA16" s="96">
        <v>183943.40843306601</v>
      </c>
      <c r="AB16" s="96">
        <v>240104.61780011799</v>
      </c>
      <c r="AC16" s="113">
        <v>30.531786838933208</v>
      </c>
      <c r="AD16" s="113">
        <v>6.3079420767051477</v>
      </c>
      <c r="AE16" s="113"/>
      <c r="AF16" s="113"/>
      <c r="AG16" s="96"/>
      <c r="AH16" s="96"/>
      <c r="AI16" s="113"/>
      <c r="AJ16" s="96"/>
      <c r="AK16" s="96"/>
      <c r="AL16" s="113"/>
      <c r="AM16" s="113"/>
    </row>
    <row r="17" spans="1:39" ht="15">
      <c r="A17" s="140"/>
      <c r="B17" s="139"/>
      <c r="C17" s="104"/>
      <c r="D17" s="104"/>
      <c r="E17" s="113"/>
      <c r="F17" s="104"/>
      <c r="G17" s="104"/>
      <c r="H17" s="113"/>
      <c r="I17" s="110"/>
      <c r="J17" s="103"/>
      <c r="K17" s="103"/>
      <c r="L17" s="113"/>
      <c r="M17" s="103"/>
      <c r="N17" s="103"/>
      <c r="O17" s="113"/>
      <c r="P17" s="113"/>
      <c r="Q17" s="103"/>
      <c r="R17" s="103"/>
      <c r="S17" s="113"/>
      <c r="T17" s="103"/>
      <c r="U17" s="103"/>
      <c r="V17" s="113"/>
      <c r="W17" s="113"/>
      <c r="X17" s="96"/>
      <c r="Y17" s="96"/>
      <c r="Z17" s="113"/>
      <c r="AA17" s="96"/>
      <c r="AB17" s="96"/>
      <c r="AC17" s="113"/>
      <c r="AD17" s="113"/>
      <c r="AE17" s="113"/>
      <c r="AF17" s="113"/>
      <c r="AG17" s="96"/>
      <c r="AH17" s="96"/>
      <c r="AI17" s="113"/>
      <c r="AJ17" s="96"/>
      <c r="AK17" s="96"/>
      <c r="AL17" s="113"/>
      <c r="AM17" s="113"/>
    </row>
    <row r="18" spans="1:39" s="138" customFormat="1" ht="15">
      <c r="A18" s="13">
        <v>3</v>
      </c>
      <c r="B18" s="139" t="s">
        <v>85</v>
      </c>
      <c r="C18" s="101">
        <v>103.8898475269979</v>
      </c>
      <c r="D18" s="101">
        <v>99.392146132995677</v>
      </c>
      <c r="E18" s="110">
        <v>-4.3292982914749256</v>
      </c>
      <c r="F18" s="101">
        <v>863.58247738299292</v>
      </c>
      <c r="G18" s="101">
        <v>1064.4170024149914</v>
      </c>
      <c r="H18" s="110">
        <v>23.255974998544325</v>
      </c>
      <c r="I18" s="110">
        <v>0.34794865435376832</v>
      </c>
      <c r="J18" s="102">
        <v>4827</v>
      </c>
      <c r="K18" s="102">
        <v>5201</v>
      </c>
      <c r="L18" s="110">
        <v>7.7480836958773613</v>
      </c>
      <c r="M18" s="101">
        <v>43257</v>
      </c>
      <c r="N18" s="101">
        <v>50101</v>
      </c>
      <c r="O18" s="110">
        <v>15.821716716369604</v>
      </c>
      <c r="P18" s="110">
        <v>0.24170790775780543</v>
      </c>
      <c r="Q18" s="102">
        <v>222516</v>
      </c>
      <c r="R18" s="102">
        <v>136970</v>
      </c>
      <c r="S18" s="110">
        <v>-38.444875874094443</v>
      </c>
      <c r="T18" s="102">
        <v>1288073</v>
      </c>
      <c r="U18" s="102">
        <v>1713665</v>
      </c>
      <c r="V18" s="110">
        <v>33.040984478364187</v>
      </c>
      <c r="W18" s="110">
        <v>0.80022201022414818</v>
      </c>
      <c r="X18" s="101">
        <v>2032.1401809000063</v>
      </c>
      <c r="Y18" s="101">
        <v>2125.0182429000029</v>
      </c>
      <c r="Z18" s="110">
        <v>4.570455467243506</v>
      </c>
      <c r="AA18" s="101">
        <v>17114.989102124055</v>
      </c>
      <c r="AB18" s="101">
        <v>21326.659542880014</v>
      </c>
      <c r="AC18" s="110">
        <v>24.608081346854437</v>
      </c>
      <c r="AD18" s="110">
        <v>0.25419442511749124</v>
      </c>
      <c r="AE18" s="110"/>
      <c r="AF18" s="110"/>
      <c r="AG18" s="101"/>
      <c r="AH18" s="101"/>
      <c r="AI18" s="110"/>
      <c r="AJ18" s="101"/>
      <c r="AK18" s="101"/>
      <c r="AL18" s="110"/>
      <c r="AM18" s="110"/>
    </row>
    <row r="19" spans="1:39">
      <c r="A19" s="140"/>
      <c r="B19" s="141" t="s">
        <v>79</v>
      </c>
      <c r="C19" s="96">
        <v>28.451179800000006</v>
      </c>
      <c r="D19" s="96">
        <v>12.906793100000002</v>
      </c>
      <c r="E19" s="113">
        <v>-54.635297408650871</v>
      </c>
      <c r="F19" s="96">
        <v>196.32665730000005</v>
      </c>
      <c r="G19" s="96">
        <v>208.31382849999989</v>
      </c>
      <c r="H19" s="113">
        <v>6.1057277523360654</v>
      </c>
      <c r="I19" s="113">
        <v>0.52561713647953079</v>
      </c>
      <c r="J19" s="103">
        <v>563</v>
      </c>
      <c r="K19" s="103">
        <v>276</v>
      </c>
      <c r="L19" s="113">
        <v>-50.976909413854358</v>
      </c>
      <c r="M19" s="103">
        <v>3736</v>
      </c>
      <c r="N19" s="103">
        <v>4134</v>
      </c>
      <c r="O19" s="113">
        <v>10.653104925053537</v>
      </c>
      <c r="P19" s="113">
        <v>0.39497180069497462</v>
      </c>
      <c r="Q19" s="103"/>
      <c r="R19" s="103"/>
      <c r="S19" s="113" t="s">
        <v>126</v>
      </c>
      <c r="T19" s="103"/>
      <c r="U19" s="103"/>
      <c r="V19" s="113" t="s">
        <v>126</v>
      </c>
      <c r="W19" s="113" t="s">
        <v>126</v>
      </c>
      <c r="X19" s="96">
        <v>45.488705299999999</v>
      </c>
      <c r="Y19" s="96">
        <v>19.214853900000001</v>
      </c>
      <c r="Z19" s="113">
        <v>-57.759066182963004</v>
      </c>
      <c r="AA19" s="96">
        <v>304.70150269999993</v>
      </c>
      <c r="AB19" s="96">
        <v>363.22576700000008</v>
      </c>
      <c r="AC19" s="113">
        <v>19.207080956742573</v>
      </c>
      <c r="AD19" s="113">
        <v>1.1542179136521871</v>
      </c>
      <c r="AE19" s="113"/>
      <c r="AF19" s="113"/>
      <c r="AG19" s="96"/>
      <c r="AH19" s="96"/>
      <c r="AI19" s="113"/>
      <c r="AJ19" s="96"/>
      <c r="AK19" s="96"/>
      <c r="AL19" s="113"/>
      <c r="AM19" s="113"/>
    </row>
    <row r="20" spans="1:39">
      <c r="A20" s="140"/>
      <c r="B20" s="141" t="s">
        <v>80</v>
      </c>
      <c r="C20" s="96">
        <v>45.026858841997381</v>
      </c>
      <c r="D20" s="96">
        <v>58.226438694996233</v>
      </c>
      <c r="E20" s="113">
        <v>29.314902688009315</v>
      </c>
      <c r="F20" s="96">
        <v>425.40017088499559</v>
      </c>
      <c r="G20" s="96">
        <v>589.62034493299291</v>
      </c>
      <c r="H20" s="113">
        <v>38.603692543507066</v>
      </c>
      <c r="I20" s="113">
        <v>0.66240484502985297</v>
      </c>
      <c r="J20" s="103">
        <v>4260</v>
      </c>
      <c r="K20" s="103">
        <v>4924</v>
      </c>
      <c r="L20" s="113">
        <v>15.586854460093891</v>
      </c>
      <c r="M20" s="103">
        <v>39494</v>
      </c>
      <c r="N20" s="103">
        <v>45934</v>
      </c>
      <c r="O20" s="113">
        <v>16.306274370790508</v>
      </c>
      <c r="P20" s="113">
        <v>0.23379579438348536</v>
      </c>
      <c r="Q20" s="103"/>
      <c r="R20" s="103"/>
      <c r="S20" s="113" t="s">
        <v>126</v>
      </c>
      <c r="T20" s="103"/>
      <c r="U20" s="103"/>
      <c r="V20" s="113" t="s">
        <v>126</v>
      </c>
      <c r="W20" s="113" t="s">
        <v>126</v>
      </c>
      <c r="X20" s="96">
        <v>494.73221980000608</v>
      </c>
      <c r="Y20" s="96">
        <v>682.88727870000298</v>
      </c>
      <c r="Z20" s="113">
        <v>38.031697021079005</v>
      </c>
      <c r="AA20" s="96">
        <v>4442.0991148000558</v>
      </c>
      <c r="AB20" s="96">
        <v>6526.7933672000127</v>
      </c>
      <c r="AC20" s="113">
        <v>46.930385804635335</v>
      </c>
      <c r="AD20" s="113">
        <v>0.24635611176264263</v>
      </c>
      <c r="AE20" s="113"/>
      <c r="AF20" s="113"/>
      <c r="AG20" s="96"/>
      <c r="AH20" s="96"/>
      <c r="AI20" s="113"/>
      <c r="AJ20" s="96"/>
      <c r="AK20" s="96"/>
      <c r="AL20" s="113"/>
      <c r="AM20" s="113"/>
    </row>
    <row r="21" spans="1:39">
      <c r="A21" s="140"/>
      <c r="B21" s="141" t="s">
        <v>81</v>
      </c>
      <c r="C21" s="96">
        <v>30.411808885000511</v>
      </c>
      <c r="D21" s="96">
        <v>28.256518875999447</v>
      </c>
      <c r="E21" s="113">
        <v>-7.0870168136038743</v>
      </c>
      <c r="F21" s="96">
        <v>241.85564919799737</v>
      </c>
      <c r="G21" s="96">
        <v>266.38627718399852</v>
      </c>
      <c r="H21" s="113">
        <v>10.142673147121295</v>
      </c>
      <c r="I21" s="113">
        <v>0.16246492393292442</v>
      </c>
      <c r="J21" s="103">
        <v>4</v>
      </c>
      <c r="K21" s="103">
        <v>1</v>
      </c>
      <c r="L21" s="113">
        <v>-75</v>
      </c>
      <c r="M21" s="103">
        <v>27</v>
      </c>
      <c r="N21" s="103">
        <v>27</v>
      </c>
      <c r="O21" s="113">
        <v>0</v>
      </c>
      <c r="P21" s="113">
        <v>1.0014836795252227</v>
      </c>
      <c r="Q21" s="103">
        <v>222516</v>
      </c>
      <c r="R21" s="103">
        <v>136945</v>
      </c>
      <c r="S21" s="113">
        <v>-38.45611102122993</v>
      </c>
      <c r="T21" s="103">
        <v>1288073</v>
      </c>
      <c r="U21" s="103">
        <v>1712474</v>
      </c>
      <c r="V21" s="113">
        <v>32.948520774831856</v>
      </c>
      <c r="W21" s="113">
        <v>1.3478832633985782</v>
      </c>
      <c r="X21" s="96">
        <v>1491.9192558000002</v>
      </c>
      <c r="Y21" s="96">
        <v>1416.2161103000001</v>
      </c>
      <c r="Z21" s="113">
        <v>-5.0742119726450259</v>
      </c>
      <c r="AA21" s="96">
        <v>12368.188484624001</v>
      </c>
      <c r="AB21" s="96">
        <v>14319.085408679999</v>
      </c>
      <c r="AC21" s="113">
        <v>15.77350576829688</v>
      </c>
      <c r="AD21" s="113">
        <v>0.79056490456387796</v>
      </c>
      <c r="AE21" s="113"/>
      <c r="AF21" s="113"/>
      <c r="AG21" s="96"/>
      <c r="AH21" s="96"/>
      <c r="AI21" s="113"/>
      <c r="AJ21" s="96"/>
      <c r="AK21" s="96"/>
      <c r="AL21" s="113"/>
      <c r="AM21" s="113"/>
    </row>
    <row r="22" spans="1:39">
      <c r="A22" s="140"/>
      <c r="B22" s="141" t="s">
        <v>82</v>
      </c>
      <c r="C22" s="96">
        <v>0</v>
      </c>
      <c r="D22" s="96">
        <v>0</v>
      </c>
      <c r="E22" s="113" t="s">
        <v>126</v>
      </c>
      <c r="F22" s="96">
        <v>0</v>
      </c>
      <c r="G22" s="96">
        <v>5.6693319999999991E-3</v>
      </c>
      <c r="H22" s="113" t="s">
        <v>126</v>
      </c>
      <c r="I22" s="113">
        <v>2.6372157375528592E-4</v>
      </c>
      <c r="J22" s="103">
        <v>0</v>
      </c>
      <c r="K22" s="103">
        <v>0</v>
      </c>
      <c r="L22" s="113" t="s">
        <v>126</v>
      </c>
      <c r="M22" s="103">
        <v>0</v>
      </c>
      <c r="N22" s="103">
        <v>1</v>
      </c>
      <c r="O22" s="113" t="s">
        <v>126</v>
      </c>
      <c r="P22" s="113">
        <v>2.5043826696719257E-2</v>
      </c>
      <c r="Q22" s="106">
        <v>0</v>
      </c>
      <c r="R22" s="106">
        <v>0</v>
      </c>
      <c r="S22" s="113" t="s">
        <v>126</v>
      </c>
      <c r="T22" s="106">
        <v>0</v>
      </c>
      <c r="U22" s="106">
        <v>66</v>
      </c>
      <c r="V22" s="113" t="s">
        <v>126</v>
      </c>
      <c r="W22" s="113">
        <v>8.1447072607103519E-4</v>
      </c>
      <c r="X22" s="96">
        <v>0</v>
      </c>
      <c r="Y22" s="96">
        <v>0</v>
      </c>
      <c r="Z22" s="113" t="s">
        <v>126</v>
      </c>
      <c r="AA22" s="96">
        <v>0</v>
      </c>
      <c r="AB22" s="96">
        <v>12.7</v>
      </c>
      <c r="AC22" s="113" t="s">
        <v>126</v>
      </c>
      <c r="AD22" s="113">
        <v>1.3885073989303571E-2</v>
      </c>
      <c r="AE22" s="113"/>
      <c r="AF22" s="113"/>
      <c r="AG22" s="96"/>
      <c r="AH22" s="96"/>
      <c r="AI22" s="113"/>
      <c r="AJ22" s="96"/>
      <c r="AK22" s="96"/>
      <c r="AL22" s="113"/>
      <c r="AM22" s="113"/>
    </row>
    <row r="23" spans="1:39" ht="15">
      <c r="A23" s="140"/>
      <c r="B23" s="142" t="s">
        <v>83</v>
      </c>
      <c r="C23" s="96">
        <v>0</v>
      </c>
      <c r="D23" s="96">
        <v>2.3954619999999997E-3</v>
      </c>
      <c r="E23" s="113" t="s">
        <v>126</v>
      </c>
      <c r="F23" s="96">
        <v>0</v>
      </c>
      <c r="G23" s="96">
        <v>9.0882465999999995E-2</v>
      </c>
      <c r="H23" s="113" t="s">
        <v>126</v>
      </c>
      <c r="I23" s="113">
        <v>8.1489783161237117E-4</v>
      </c>
      <c r="J23" s="103">
        <v>0</v>
      </c>
      <c r="K23" s="103">
        <v>0</v>
      </c>
      <c r="L23" s="113" t="s">
        <v>126</v>
      </c>
      <c r="M23" s="103">
        <v>0</v>
      </c>
      <c r="N23" s="103">
        <v>5</v>
      </c>
      <c r="O23" s="113" t="s">
        <v>126</v>
      </c>
      <c r="P23" s="113">
        <v>1.8178512997636793E-2</v>
      </c>
      <c r="Q23" s="106">
        <v>0</v>
      </c>
      <c r="R23" s="106">
        <v>25</v>
      </c>
      <c r="S23" s="113" t="s">
        <v>126</v>
      </c>
      <c r="T23" s="106">
        <v>0</v>
      </c>
      <c r="U23" s="106">
        <v>1125</v>
      </c>
      <c r="V23" s="113" t="s">
        <v>126</v>
      </c>
      <c r="W23" s="113">
        <v>1.4241201984790625E-3</v>
      </c>
      <c r="X23" s="96">
        <v>0</v>
      </c>
      <c r="Y23" s="96">
        <v>6.7</v>
      </c>
      <c r="Z23" s="113" t="s">
        <v>126</v>
      </c>
      <c r="AA23" s="96">
        <v>0</v>
      </c>
      <c r="AB23" s="96">
        <v>104.855</v>
      </c>
      <c r="AC23" s="113" t="s">
        <v>126</v>
      </c>
      <c r="AD23" s="113">
        <v>2.7547128102448065E-3</v>
      </c>
      <c r="AE23" s="113"/>
      <c r="AF23" s="113"/>
      <c r="AG23" s="96"/>
      <c r="AH23" s="96"/>
      <c r="AI23" s="113"/>
      <c r="AJ23" s="96"/>
      <c r="AK23" s="96"/>
      <c r="AL23" s="113"/>
      <c r="AM23" s="113"/>
    </row>
    <row r="24" spans="1:39">
      <c r="A24" s="140"/>
      <c r="B24" s="144"/>
      <c r="C24" s="104"/>
      <c r="D24" s="104"/>
      <c r="E24" s="113"/>
      <c r="F24" s="104"/>
      <c r="G24" s="104"/>
      <c r="H24" s="113"/>
      <c r="I24" s="110"/>
      <c r="J24" s="103"/>
      <c r="K24" s="103"/>
      <c r="L24" s="113"/>
      <c r="M24" s="103"/>
      <c r="N24" s="103"/>
      <c r="O24" s="113"/>
      <c r="P24" s="113"/>
      <c r="Q24" s="103"/>
      <c r="R24" s="103"/>
      <c r="S24" s="113"/>
      <c r="T24" s="103"/>
      <c r="U24" s="103"/>
      <c r="V24" s="113"/>
      <c r="W24" s="113"/>
      <c r="X24" s="96"/>
      <c r="Y24" s="96"/>
      <c r="Z24" s="113"/>
      <c r="AA24" s="96"/>
      <c r="AB24" s="96"/>
      <c r="AC24" s="113"/>
      <c r="AD24" s="113"/>
      <c r="AE24" s="113"/>
      <c r="AF24" s="113"/>
      <c r="AG24" s="96"/>
      <c r="AH24" s="96"/>
      <c r="AI24" s="113"/>
      <c r="AJ24" s="96"/>
      <c r="AK24" s="96"/>
      <c r="AL24" s="113"/>
      <c r="AM24" s="113"/>
    </row>
    <row r="25" spans="1:39" s="138" customFormat="1" ht="15">
      <c r="A25" s="13">
        <v>4</v>
      </c>
      <c r="B25" s="139" t="s">
        <v>86</v>
      </c>
      <c r="C25" s="101">
        <v>23.442019605574274</v>
      </c>
      <c r="D25" s="101">
        <v>55.785509084666415</v>
      </c>
      <c r="E25" s="110">
        <v>137.97228235147961</v>
      </c>
      <c r="F25" s="101">
        <v>276.92169856394133</v>
      </c>
      <c r="G25" s="101">
        <v>251.79631990328565</v>
      </c>
      <c r="H25" s="110">
        <v>-9.0730985657500707</v>
      </c>
      <c r="I25" s="110">
        <v>8.2310025565921249E-2</v>
      </c>
      <c r="J25" s="102">
        <v>1774</v>
      </c>
      <c r="K25" s="102">
        <v>1548</v>
      </c>
      <c r="L25" s="110">
        <v>-12.739571589627962</v>
      </c>
      <c r="M25" s="101">
        <v>21822</v>
      </c>
      <c r="N25" s="101">
        <v>12596</v>
      </c>
      <c r="O25" s="110">
        <v>-42.278434607277063</v>
      </c>
      <c r="P25" s="110">
        <v>6.0768304147967446E-2</v>
      </c>
      <c r="Q25" s="102">
        <v>41486</v>
      </c>
      <c r="R25" s="102">
        <v>130834</v>
      </c>
      <c r="S25" s="110">
        <v>215.36904015812564</v>
      </c>
      <c r="T25" s="102">
        <v>786880</v>
      </c>
      <c r="U25" s="102">
        <v>636694</v>
      </c>
      <c r="V25" s="110">
        <v>-19.086264741764946</v>
      </c>
      <c r="W25" s="110">
        <v>0.29731397477199678</v>
      </c>
      <c r="X25" s="101">
        <v>4881.9233147059995</v>
      </c>
      <c r="Y25" s="101">
        <v>35486.072147944004</v>
      </c>
      <c r="Z25" s="110">
        <v>626.88712747797547</v>
      </c>
      <c r="AA25" s="101">
        <v>47983.210517907493</v>
      </c>
      <c r="AB25" s="101">
        <v>83242.511762113791</v>
      </c>
      <c r="AC25" s="110">
        <v>73.482580393505373</v>
      </c>
      <c r="AD25" s="110">
        <v>0.9921751871249237</v>
      </c>
      <c r="AE25" s="110"/>
      <c r="AF25" s="110"/>
      <c r="AG25" s="101"/>
      <c r="AH25" s="101"/>
      <c r="AI25" s="110"/>
      <c r="AJ25" s="101"/>
      <c r="AK25" s="101"/>
      <c r="AL25" s="110"/>
      <c r="AM25" s="110"/>
    </row>
    <row r="26" spans="1:39">
      <c r="A26" s="140"/>
      <c r="B26" s="141" t="s">
        <v>79</v>
      </c>
      <c r="C26" s="96">
        <v>0.70175330000000002</v>
      </c>
      <c r="D26" s="96">
        <v>4.1119247000000003</v>
      </c>
      <c r="E26" s="113">
        <v>485.95017650789816</v>
      </c>
      <c r="F26" s="96">
        <v>16.342044399999999</v>
      </c>
      <c r="G26" s="96">
        <v>22.489781300000001</v>
      </c>
      <c r="H26" s="113">
        <v>37.619142070131709</v>
      </c>
      <c r="I26" s="113">
        <v>5.6746182104549563E-2</v>
      </c>
      <c r="J26" s="103">
        <v>13</v>
      </c>
      <c r="K26" s="103">
        <v>42</v>
      </c>
      <c r="L26" s="113">
        <v>223.07692307692309</v>
      </c>
      <c r="M26" s="103">
        <v>262</v>
      </c>
      <c r="N26" s="103">
        <v>332</v>
      </c>
      <c r="O26" s="113">
        <v>26.717557251908385</v>
      </c>
      <c r="P26" s="113">
        <v>3.1720038178696557E-2</v>
      </c>
      <c r="Q26" s="103"/>
      <c r="R26" s="103"/>
      <c r="S26" s="113" t="s">
        <v>126</v>
      </c>
      <c r="T26" s="103"/>
      <c r="U26" s="103"/>
      <c r="V26" s="113" t="s">
        <v>126</v>
      </c>
      <c r="W26" s="113" t="s">
        <v>126</v>
      </c>
      <c r="X26" s="96">
        <v>0.71499999999999997</v>
      </c>
      <c r="Y26" s="96">
        <v>0.59312500000000001</v>
      </c>
      <c r="Z26" s="113">
        <v>-17.04545454545454</v>
      </c>
      <c r="AA26" s="96">
        <v>20.8340125</v>
      </c>
      <c r="AB26" s="96">
        <v>10.286975</v>
      </c>
      <c r="AC26" s="113">
        <v>-50.624129653373309</v>
      </c>
      <c r="AD26" s="113">
        <v>3.2688790006167728E-2</v>
      </c>
      <c r="AE26" s="113"/>
      <c r="AF26" s="113"/>
      <c r="AG26" s="96"/>
      <c r="AH26" s="96"/>
      <c r="AI26" s="113"/>
      <c r="AJ26" s="96"/>
      <c r="AK26" s="96"/>
      <c r="AL26" s="113"/>
      <c r="AM26" s="113"/>
    </row>
    <row r="27" spans="1:39">
      <c r="A27" s="140"/>
      <c r="B27" s="141" t="s">
        <v>80</v>
      </c>
      <c r="C27" s="96">
        <v>14.515227899999998</v>
      </c>
      <c r="D27" s="96">
        <v>11.6044587</v>
      </c>
      <c r="E27" s="113">
        <v>-20.053210463199122</v>
      </c>
      <c r="F27" s="96">
        <v>156.45964170000002</v>
      </c>
      <c r="G27" s="96">
        <v>104.06352509999996</v>
      </c>
      <c r="H27" s="113">
        <v>-33.488582762106667</v>
      </c>
      <c r="I27" s="113">
        <v>0.1169094380977635</v>
      </c>
      <c r="J27" s="103">
        <v>1730</v>
      </c>
      <c r="K27" s="103">
        <v>1486</v>
      </c>
      <c r="L27" s="113">
        <v>-14.104046242774571</v>
      </c>
      <c r="M27" s="103">
        <v>21307</v>
      </c>
      <c r="N27" s="103">
        <v>12037</v>
      </c>
      <c r="O27" s="113">
        <v>-43.506828741728064</v>
      </c>
      <c r="P27" s="113">
        <v>6.1266163996038084E-2</v>
      </c>
      <c r="Q27" s="103"/>
      <c r="R27" s="103"/>
      <c r="S27" s="113" t="s">
        <v>126</v>
      </c>
      <c r="T27" s="103"/>
      <c r="U27" s="103"/>
      <c r="V27" s="113" t="s">
        <v>126</v>
      </c>
      <c r="W27" s="113" t="s">
        <v>126</v>
      </c>
      <c r="X27" s="96">
        <v>202.34349200000011</v>
      </c>
      <c r="Y27" s="96">
        <v>166.28085119999997</v>
      </c>
      <c r="Z27" s="113">
        <v>-17.822486131651871</v>
      </c>
      <c r="AA27" s="96">
        <v>2256.4173039000002</v>
      </c>
      <c r="AB27" s="96">
        <v>1465.9833742000001</v>
      </c>
      <c r="AC27" s="113">
        <v>-35.0304852003134</v>
      </c>
      <c r="AD27" s="113">
        <v>5.5334058190281851E-2</v>
      </c>
      <c r="AE27" s="113"/>
      <c r="AF27" s="113"/>
      <c r="AG27" s="96"/>
      <c r="AH27" s="96"/>
      <c r="AI27" s="113"/>
      <c r="AJ27" s="96"/>
      <c r="AK27" s="96"/>
      <c r="AL27" s="113"/>
      <c r="AM27" s="113"/>
    </row>
    <row r="28" spans="1:39">
      <c r="A28" s="140"/>
      <c r="B28" s="141" t="s">
        <v>81</v>
      </c>
      <c r="C28" s="96">
        <v>1.4143938020183799</v>
      </c>
      <c r="D28" s="96">
        <v>0.65816033254999984</v>
      </c>
      <c r="E28" s="113">
        <v>-53.466967147990438</v>
      </c>
      <c r="F28" s="96">
        <v>19.737173813559089</v>
      </c>
      <c r="G28" s="96">
        <v>7.857483931334194</v>
      </c>
      <c r="H28" s="113">
        <v>-60.189417159936845</v>
      </c>
      <c r="I28" s="113">
        <v>4.7921595012442612E-3</v>
      </c>
      <c r="J28" s="103">
        <v>1</v>
      </c>
      <c r="K28" s="103">
        <v>0</v>
      </c>
      <c r="L28" s="113">
        <v>-100</v>
      </c>
      <c r="M28" s="103">
        <v>10</v>
      </c>
      <c r="N28" s="103">
        <v>0</v>
      </c>
      <c r="O28" s="113">
        <v>-100</v>
      </c>
      <c r="P28" s="113">
        <v>0</v>
      </c>
      <c r="Q28" s="103">
        <v>3472</v>
      </c>
      <c r="R28" s="103">
        <v>100</v>
      </c>
      <c r="S28" s="113">
        <v>-97.119815668202776</v>
      </c>
      <c r="T28" s="103">
        <v>249540</v>
      </c>
      <c r="U28" s="103">
        <v>26218</v>
      </c>
      <c r="V28" s="113">
        <v>-89.493467981085189</v>
      </c>
      <c r="W28" s="113">
        <v>2.0636110913090606E-2</v>
      </c>
      <c r="X28" s="96">
        <v>92.993120629999993</v>
      </c>
      <c r="Y28" s="96">
        <v>63.796819999999997</v>
      </c>
      <c r="Z28" s="113">
        <v>-31.396194075652019</v>
      </c>
      <c r="AA28" s="96">
        <v>1815.5118400239996</v>
      </c>
      <c r="AB28" s="96">
        <v>684.44171349999999</v>
      </c>
      <c r="AC28" s="113">
        <v>-62.300344265948041</v>
      </c>
      <c r="AD28" s="113">
        <v>3.7788418915684456E-2</v>
      </c>
      <c r="AE28" s="113"/>
      <c r="AF28" s="113"/>
      <c r="AG28" s="96"/>
      <c r="AH28" s="96"/>
      <c r="AI28" s="113"/>
      <c r="AJ28" s="96"/>
      <c r="AK28" s="96"/>
      <c r="AL28" s="113"/>
      <c r="AM28" s="113"/>
    </row>
    <row r="29" spans="1:39">
      <c r="A29" s="140"/>
      <c r="B29" s="141" t="s">
        <v>82</v>
      </c>
      <c r="C29" s="96">
        <v>0.14014019999999999</v>
      </c>
      <c r="D29" s="96">
        <v>8.9450800000000011E-2</v>
      </c>
      <c r="E29" s="113">
        <v>-36.170492121461209</v>
      </c>
      <c r="F29" s="96">
        <v>1.0433376000000001</v>
      </c>
      <c r="G29" s="96">
        <v>0.81862160000000006</v>
      </c>
      <c r="H29" s="113">
        <v>-21.538186680897919</v>
      </c>
      <c r="I29" s="113">
        <v>3.8080002487430653E-2</v>
      </c>
      <c r="J29" s="103">
        <v>0</v>
      </c>
      <c r="K29" s="103">
        <v>0</v>
      </c>
      <c r="L29" s="113" t="s">
        <v>126</v>
      </c>
      <c r="M29" s="103">
        <v>0</v>
      </c>
      <c r="N29" s="103">
        <v>0</v>
      </c>
      <c r="O29" s="113" t="s">
        <v>126</v>
      </c>
      <c r="P29" s="113">
        <v>0</v>
      </c>
      <c r="Q29" s="106">
        <v>0</v>
      </c>
      <c r="R29" s="106">
        <v>0</v>
      </c>
      <c r="S29" s="113" t="s">
        <v>126</v>
      </c>
      <c r="T29" s="106">
        <v>0</v>
      </c>
      <c r="U29" s="106">
        <v>0</v>
      </c>
      <c r="V29" s="113" t="s">
        <v>126</v>
      </c>
      <c r="W29" s="113">
        <v>0</v>
      </c>
      <c r="X29" s="96">
        <v>0</v>
      </c>
      <c r="Y29" s="96">
        <v>0</v>
      </c>
      <c r="Z29" s="113" t="s">
        <v>126</v>
      </c>
      <c r="AA29" s="96">
        <v>0</v>
      </c>
      <c r="AB29" s="96">
        <v>0</v>
      </c>
      <c r="AC29" s="113" t="s">
        <v>126</v>
      </c>
      <c r="AD29" s="113">
        <v>0</v>
      </c>
      <c r="AE29" s="113"/>
      <c r="AF29" s="113"/>
      <c r="AG29" s="96"/>
      <c r="AH29" s="96"/>
      <c r="AI29" s="113"/>
      <c r="AJ29" s="96"/>
      <c r="AK29" s="96"/>
      <c r="AL29" s="113"/>
      <c r="AM29" s="113"/>
    </row>
    <row r="30" spans="1:39" ht="15">
      <c r="A30" s="140"/>
      <c r="B30" s="142" t="s">
        <v>83</v>
      </c>
      <c r="C30" s="96">
        <v>6.6705044035558956</v>
      </c>
      <c r="D30" s="96">
        <v>39.321514552116412</v>
      </c>
      <c r="E30" s="113">
        <v>489.48337596711571</v>
      </c>
      <c r="F30" s="96">
        <v>83.339501050382239</v>
      </c>
      <c r="G30" s="96">
        <v>116.56690797195148</v>
      </c>
      <c r="H30" s="113">
        <v>39.86993742796934</v>
      </c>
      <c r="I30" s="113">
        <v>1.0451974371393276</v>
      </c>
      <c r="J30" s="103">
        <v>30</v>
      </c>
      <c r="K30" s="103">
        <v>20</v>
      </c>
      <c r="L30" s="113">
        <v>-33.333333333333336</v>
      </c>
      <c r="M30" s="103">
        <v>243</v>
      </c>
      <c r="N30" s="103">
        <v>227</v>
      </c>
      <c r="O30" s="113">
        <v>-6.5843621399176993</v>
      </c>
      <c r="P30" s="113">
        <v>0.82530449009271045</v>
      </c>
      <c r="Q30" s="106">
        <v>38014</v>
      </c>
      <c r="R30" s="106">
        <v>130734</v>
      </c>
      <c r="S30" s="113">
        <v>243.91013837007418</v>
      </c>
      <c r="T30" s="106">
        <v>537340</v>
      </c>
      <c r="U30" s="106">
        <v>610476</v>
      </c>
      <c r="V30" s="113">
        <v>13.610749246287268</v>
      </c>
      <c r="W30" s="113">
        <v>0.7727921798104036</v>
      </c>
      <c r="X30" s="96">
        <v>4585.8717020759996</v>
      </c>
      <c r="Y30" s="96">
        <v>35255.401351744003</v>
      </c>
      <c r="Z30" s="113">
        <v>668.78298483108608</v>
      </c>
      <c r="AA30" s="96">
        <v>43890.447361483493</v>
      </c>
      <c r="AB30" s="96">
        <v>81081.799699413794</v>
      </c>
      <c r="AC30" s="113">
        <v>84.736781176142557</v>
      </c>
      <c r="AD30" s="113">
        <v>2.130151850743204</v>
      </c>
      <c r="AE30" s="113"/>
      <c r="AF30" s="113"/>
      <c r="AG30" s="96"/>
      <c r="AH30" s="96"/>
      <c r="AI30" s="113"/>
      <c r="AJ30" s="96"/>
      <c r="AK30" s="96"/>
      <c r="AL30" s="113"/>
      <c r="AM30" s="113"/>
    </row>
    <row r="31" spans="1:39">
      <c r="A31" s="140"/>
      <c r="B31" s="144"/>
      <c r="C31" s="104"/>
      <c r="D31" s="104"/>
      <c r="E31" s="113"/>
      <c r="F31" s="104"/>
      <c r="G31" s="104"/>
      <c r="H31" s="113"/>
      <c r="I31" s="110"/>
      <c r="J31" s="103"/>
      <c r="K31" s="103"/>
      <c r="L31" s="113"/>
      <c r="M31" s="103"/>
      <c r="N31" s="103"/>
      <c r="O31" s="113"/>
      <c r="P31" s="113"/>
      <c r="Q31" s="103"/>
      <c r="R31" s="103"/>
      <c r="S31" s="113"/>
      <c r="T31" s="103"/>
      <c r="U31" s="103"/>
      <c r="V31" s="113"/>
      <c r="W31" s="113"/>
      <c r="X31" s="96"/>
      <c r="Y31" s="96"/>
      <c r="Z31" s="113"/>
      <c r="AA31" s="96"/>
      <c r="AB31" s="96"/>
      <c r="AC31" s="113"/>
      <c r="AD31" s="113"/>
      <c r="AE31" s="113"/>
      <c r="AF31" s="113"/>
      <c r="AG31" s="96"/>
      <c r="AH31" s="96"/>
      <c r="AI31" s="113"/>
      <c r="AJ31" s="96"/>
      <c r="AK31" s="96"/>
      <c r="AL31" s="113"/>
      <c r="AM31" s="113"/>
    </row>
    <row r="32" spans="1:39" s="138" customFormat="1" ht="15">
      <c r="A32" s="13">
        <v>5</v>
      </c>
      <c r="B32" s="139" t="s">
        <v>87</v>
      </c>
      <c r="C32" s="101">
        <v>950.84836663914666</v>
      </c>
      <c r="D32" s="101">
        <v>885.53663257158917</v>
      </c>
      <c r="E32" s="110">
        <v>-6.868785429837498</v>
      </c>
      <c r="F32" s="101">
        <v>8489.510355909666</v>
      </c>
      <c r="G32" s="101">
        <v>9389.4442361826004</v>
      </c>
      <c r="H32" s="110">
        <v>10.600539283711207</v>
      </c>
      <c r="I32" s="110">
        <v>3.0693276034646964</v>
      </c>
      <c r="J32" s="102">
        <v>65484</v>
      </c>
      <c r="K32" s="102">
        <v>59902</v>
      </c>
      <c r="L32" s="110">
        <v>-8.5242196567100414</v>
      </c>
      <c r="M32" s="101">
        <v>558142</v>
      </c>
      <c r="N32" s="101">
        <v>616820</v>
      </c>
      <c r="O32" s="110">
        <v>10.513095233829395</v>
      </c>
      <c r="P32" s="110">
        <v>2.9757943287193775</v>
      </c>
      <c r="Q32" s="102">
        <v>2029465</v>
      </c>
      <c r="R32" s="102">
        <v>1377287</v>
      </c>
      <c r="S32" s="110">
        <v>-32.135464272603862</v>
      </c>
      <c r="T32" s="102">
        <v>15914371</v>
      </c>
      <c r="U32" s="102">
        <v>13412460</v>
      </c>
      <c r="V32" s="110">
        <v>-15.721080022578338</v>
      </c>
      <c r="W32" s="110">
        <v>6.2631527767976705</v>
      </c>
      <c r="X32" s="101">
        <v>50735.232788180481</v>
      </c>
      <c r="Y32" s="101">
        <v>46780.636342729951</v>
      </c>
      <c r="Z32" s="110">
        <v>-7.7945763291576213</v>
      </c>
      <c r="AA32" s="101">
        <v>457118.91320012975</v>
      </c>
      <c r="AB32" s="101">
        <v>538030.05276184855</v>
      </c>
      <c r="AC32" s="110">
        <v>17.700238871169915</v>
      </c>
      <c r="AD32" s="110">
        <v>6.4128298987822889</v>
      </c>
      <c r="AE32" s="110"/>
      <c r="AF32" s="110"/>
      <c r="AG32" s="101"/>
      <c r="AH32" s="101"/>
      <c r="AI32" s="110"/>
      <c r="AJ32" s="101"/>
      <c r="AK32" s="101"/>
      <c r="AL32" s="110"/>
      <c r="AM32" s="110"/>
    </row>
    <row r="33" spans="1:39">
      <c r="A33" s="140"/>
      <c r="B33" s="141" t="s">
        <v>79</v>
      </c>
      <c r="C33" s="96">
        <v>38.105855402899998</v>
      </c>
      <c r="D33" s="96">
        <v>41.913756763279991</v>
      </c>
      <c r="E33" s="113">
        <v>9.9929559909320389</v>
      </c>
      <c r="F33" s="96">
        <v>472.91408680590001</v>
      </c>
      <c r="G33" s="96">
        <v>534.44019752274505</v>
      </c>
      <c r="H33" s="113">
        <v>13.00999746748872</v>
      </c>
      <c r="I33" s="113">
        <v>1.3484986967221921</v>
      </c>
      <c r="J33" s="103">
        <v>556</v>
      </c>
      <c r="K33" s="103">
        <v>484</v>
      </c>
      <c r="L33" s="113">
        <v>-12.949640287769782</v>
      </c>
      <c r="M33" s="103">
        <v>5517</v>
      </c>
      <c r="N33" s="103">
        <v>6039</v>
      </c>
      <c r="O33" s="113">
        <v>9.461663947797728</v>
      </c>
      <c r="P33" s="113">
        <v>0.5769798510877967</v>
      </c>
      <c r="Q33" s="103"/>
      <c r="R33" s="103"/>
      <c r="S33" s="113" t="s">
        <v>126</v>
      </c>
      <c r="T33" s="103"/>
      <c r="U33" s="103"/>
      <c r="V33" s="113" t="s">
        <v>126</v>
      </c>
      <c r="W33" s="113" t="s">
        <v>126</v>
      </c>
      <c r="X33" s="96">
        <v>8.9270686999999995</v>
      </c>
      <c r="Y33" s="96">
        <v>8.9891041999999999</v>
      </c>
      <c r="Z33" s="113">
        <v>0.69491455801162783</v>
      </c>
      <c r="AA33" s="96">
        <v>126.8144987</v>
      </c>
      <c r="AB33" s="96">
        <v>139.8349355</v>
      </c>
      <c r="AC33" s="113">
        <v>10.267309285196102</v>
      </c>
      <c r="AD33" s="113">
        <v>0.44435170126159612</v>
      </c>
      <c r="AE33" s="113"/>
      <c r="AF33" s="113"/>
      <c r="AG33" s="96"/>
      <c r="AH33" s="96"/>
      <c r="AI33" s="113"/>
      <c r="AJ33" s="96"/>
      <c r="AK33" s="96"/>
      <c r="AL33" s="113"/>
      <c r="AM33" s="113"/>
    </row>
    <row r="34" spans="1:39">
      <c r="A34" s="140"/>
      <c r="B34" s="141" t="s">
        <v>80</v>
      </c>
      <c r="C34" s="96">
        <v>539.33992993124662</v>
      </c>
      <c r="D34" s="96">
        <v>582.78540812730921</v>
      </c>
      <c r="E34" s="113">
        <v>8.0553053436263955</v>
      </c>
      <c r="F34" s="96">
        <v>4489.7506595727655</v>
      </c>
      <c r="G34" s="96">
        <v>5271.5039774258539</v>
      </c>
      <c r="H34" s="113">
        <v>17.411953961993042</v>
      </c>
      <c r="I34" s="113">
        <v>5.9222342058733712</v>
      </c>
      <c r="J34" s="103">
        <v>64902</v>
      </c>
      <c r="K34" s="103">
        <v>59385</v>
      </c>
      <c r="L34" s="113">
        <v>-8.5005084589072748</v>
      </c>
      <c r="M34" s="103">
        <v>552180</v>
      </c>
      <c r="N34" s="103">
        <v>610367</v>
      </c>
      <c r="O34" s="113">
        <v>10.537686986127714</v>
      </c>
      <c r="P34" s="113">
        <v>3.1066581972060958</v>
      </c>
      <c r="Q34" s="103"/>
      <c r="R34" s="103"/>
      <c r="S34" s="113" t="s">
        <v>126</v>
      </c>
      <c r="T34" s="103"/>
      <c r="U34" s="103"/>
      <c r="V34" s="113" t="s">
        <v>126</v>
      </c>
      <c r="W34" s="113" t="s">
        <v>126</v>
      </c>
      <c r="X34" s="96">
        <v>15856.139447379999</v>
      </c>
      <c r="Y34" s="96">
        <v>26340.034024303997</v>
      </c>
      <c r="Z34" s="113">
        <v>66.118834358866025</v>
      </c>
      <c r="AA34" s="96">
        <v>125131.23332484301</v>
      </c>
      <c r="AB34" s="96">
        <v>232026.56471256603</v>
      </c>
      <c r="AC34" s="113">
        <v>85.426578598662701</v>
      </c>
      <c r="AD34" s="113">
        <v>8.7579243117287522</v>
      </c>
      <c r="AE34" s="113"/>
      <c r="AF34" s="113"/>
      <c r="AG34" s="96"/>
      <c r="AH34" s="96"/>
      <c r="AI34" s="113"/>
      <c r="AJ34" s="96"/>
      <c r="AK34" s="96"/>
      <c r="AL34" s="113"/>
      <c r="AM34" s="113"/>
    </row>
    <row r="35" spans="1:39">
      <c r="A35" s="140"/>
      <c r="B35" s="141" t="s">
        <v>81</v>
      </c>
      <c r="C35" s="96">
        <v>334.25694337599998</v>
      </c>
      <c r="D35" s="96">
        <v>227.36294670600003</v>
      </c>
      <c r="E35" s="113">
        <v>-31.979588992338957</v>
      </c>
      <c r="F35" s="96">
        <v>2962.6187862700003</v>
      </c>
      <c r="G35" s="96">
        <v>3066.0790904560004</v>
      </c>
      <c r="H35" s="113">
        <v>3.4921909178959432</v>
      </c>
      <c r="I35" s="113">
        <v>1.8699548320170987</v>
      </c>
      <c r="J35" s="103">
        <v>7</v>
      </c>
      <c r="K35" s="103">
        <v>19</v>
      </c>
      <c r="L35" s="113">
        <v>171.42857142857144</v>
      </c>
      <c r="M35" s="103">
        <v>95</v>
      </c>
      <c r="N35" s="103">
        <v>109</v>
      </c>
      <c r="O35" s="113">
        <v>14.736842105263159</v>
      </c>
      <c r="P35" s="113">
        <v>4.043026706231454</v>
      </c>
      <c r="Q35" s="103">
        <v>1703935</v>
      </c>
      <c r="R35" s="103">
        <v>1210635</v>
      </c>
      <c r="S35" s="113">
        <v>-28.950634854029055</v>
      </c>
      <c r="T35" s="103">
        <v>12879931</v>
      </c>
      <c r="U35" s="103">
        <v>11739073</v>
      </c>
      <c r="V35" s="113">
        <v>-8.8576406193480395</v>
      </c>
      <c r="W35" s="113">
        <v>9.239789932293359</v>
      </c>
      <c r="X35" s="96">
        <v>12790.1561485</v>
      </c>
      <c r="Y35" s="96">
        <v>11403.619204218701</v>
      </c>
      <c r="Z35" s="113">
        <v>-10.840656894121725</v>
      </c>
      <c r="AA35" s="96">
        <v>97105.43977204003</v>
      </c>
      <c r="AB35" s="96">
        <v>106404.21169978379</v>
      </c>
      <c r="AC35" s="113">
        <v>9.5759536742463744</v>
      </c>
      <c r="AD35" s="113">
        <v>5.874637455311384</v>
      </c>
      <c r="AE35" s="113"/>
      <c r="AF35" s="113"/>
      <c r="AG35" s="96"/>
      <c r="AH35" s="96"/>
      <c r="AI35" s="113"/>
      <c r="AJ35" s="96"/>
      <c r="AK35" s="96"/>
      <c r="AL35" s="113"/>
      <c r="AM35" s="113"/>
    </row>
    <row r="36" spans="1:39">
      <c r="A36" s="140"/>
      <c r="B36" s="141" t="s">
        <v>82</v>
      </c>
      <c r="C36" s="96">
        <v>0</v>
      </c>
      <c r="D36" s="96">
        <v>0</v>
      </c>
      <c r="E36" s="113" t="s">
        <v>126</v>
      </c>
      <c r="F36" s="96">
        <v>0</v>
      </c>
      <c r="G36" s="96">
        <v>0</v>
      </c>
      <c r="H36" s="113" t="s">
        <v>126</v>
      </c>
      <c r="I36" s="113">
        <v>0</v>
      </c>
      <c r="J36" s="103">
        <v>0</v>
      </c>
      <c r="K36" s="103">
        <v>0</v>
      </c>
      <c r="L36" s="113" t="s">
        <v>126</v>
      </c>
      <c r="M36" s="103">
        <v>0</v>
      </c>
      <c r="N36" s="103">
        <v>0</v>
      </c>
      <c r="O36" s="113" t="s">
        <v>126</v>
      </c>
      <c r="P36" s="113">
        <v>0</v>
      </c>
      <c r="Q36" s="106">
        <v>0</v>
      </c>
      <c r="R36" s="106">
        <v>0</v>
      </c>
      <c r="S36" s="113" t="s">
        <v>126</v>
      </c>
      <c r="T36" s="106">
        <v>0</v>
      </c>
      <c r="U36" s="106">
        <v>0</v>
      </c>
      <c r="V36" s="113" t="s">
        <v>126</v>
      </c>
      <c r="W36" s="113">
        <v>0</v>
      </c>
      <c r="X36" s="96">
        <v>0</v>
      </c>
      <c r="Y36" s="96">
        <v>0</v>
      </c>
      <c r="Z36" s="113" t="s">
        <v>126</v>
      </c>
      <c r="AA36" s="96">
        <v>0</v>
      </c>
      <c r="AB36" s="96">
        <v>0</v>
      </c>
      <c r="AC36" s="113" t="s">
        <v>126</v>
      </c>
      <c r="AD36" s="113">
        <v>0</v>
      </c>
      <c r="AE36" s="113"/>
      <c r="AF36" s="113"/>
      <c r="AG36" s="96"/>
      <c r="AH36" s="96"/>
      <c r="AI36" s="113"/>
      <c r="AJ36" s="96"/>
      <c r="AK36" s="96"/>
      <c r="AL36" s="113"/>
      <c r="AM36" s="113"/>
    </row>
    <row r="37" spans="1:39" ht="15">
      <c r="A37" s="140"/>
      <c r="B37" s="142" t="s">
        <v>83</v>
      </c>
      <c r="C37" s="96">
        <v>39.145637928999989</v>
      </c>
      <c r="D37" s="96">
        <v>33.474520975000019</v>
      </c>
      <c r="E37" s="113">
        <v>-14.487225790740466</v>
      </c>
      <c r="F37" s="96">
        <v>564.22682326100005</v>
      </c>
      <c r="G37" s="96">
        <v>517.42097077800008</v>
      </c>
      <c r="H37" s="113">
        <v>-8.2955737929085505</v>
      </c>
      <c r="I37" s="113">
        <v>4.639456274412276</v>
      </c>
      <c r="J37" s="103">
        <v>19</v>
      </c>
      <c r="K37" s="103">
        <v>14</v>
      </c>
      <c r="L37" s="113">
        <v>-26.315789473684216</v>
      </c>
      <c r="M37" s="103">
        <v>350</v>
      </c>
      <c r="N37" s="103">
        <v>305</v>
      </c>
      <c r="O37" s="113">
        <v>-12.857142857142856</v>
      </c>
      <c r="P37" s="113">
        <v>1.1088892928558443</v>
      </c>
      <c r="Q37" s="106">
        <v>325530</v>
      </c>
      <c r="R37" s="106">
        <v>166652</v>
      </c>
      <c r="S37" s="113">
        <v>-48.805947224526157</v>
      </c>
      <c r="T37" s="106">
        <v>3034440</v>
      </c>
      <c r="U37" s="106">
        <v>1673387</v>
      </c>
      <c r="V37" s="113">
        <v>-44.853514981347466</v>
      </c>
      <c r="W37" s="113">
        <v>2.1183148680642514</v>
      </c>
      <c r="X37" s="96">
        <v>22080.010123600481</v>
      </c>
      <c r="Y37" s="96">
        <v>9027.9940100072472</v>
      </c>
      <c r="Z37" s="113">
        <v>-59.112364716003604</v>
      </c>
      <c r="AA37" s="96">
        <v>234755.42560454673</v>
      </c>
      <c r="AB37" s="96">
        <v>199459.44141399869</v>
      </c>
      <c r="AC37" s="113">
        <v>-15.035215522560607</v>
      </c>
      <c r="AD37" s="113">
        <v>5.240126635710415</v>
      </c>
      <c r="AE37" s="113"/>
      <c r="AF37" s="113"/>
      <c r="AG37" s="96"/>
      <c r="AH37" s="96"/>
      <c r="AI37" s="113"/>
      <c r="AJ37" s="96"/>
      <c r="AK37" s="96"/>
      <c r="AL37" s="113"/>
      <c r="AM37" s="113"/>
    </row>
    <row r="38" spans="1:39" ht="13.5" customHeight="1">
      <c r="A38" s="140"/>
      <c r="B38" s="144"/>
      <c r="C38" s="104"/>
      <c r="D38" s="104"/>
      <c r="E38" s="113"/>
      <c r="F38" s="104"/>
      <c r="G38" s="104"/>
      <c r="H38" s="113"/>
      <c r="I38" s="110"/>
      <c r="J38" s="103"/>
      <c r="K38" s="103"/>
      <c r="L38" s="113"/>
      <c r="M38" s="103"/>
      <c r="N38" s="103"/>
      <c r="O38" s="113"/>
      <c r="P38" s="113"/>
      <c r="Q38" s="103"/>
      <c r="R38" s="103"/>
      <c r="S38" s="113"/>
      <c r="T38" s="103"/>
      <c r="U38" s="103"/>
      <c r="V38" s="113"/>
      <c r="W38" s="113"/>
      <c r="X38" s="96"/>
      <c r="Y38" s="96"/>
      <c r="Z38" s="113"/>
      <c r="AA38" s="96"/>
      <c r="AB38" s="96"/>
      <c r="AC38" s="113"/>
      <c r="AD38" s="113"/>
      <c r="AE38" s="113"/>
      <c r="AF38" s="113"/>
      <c r="AG38" s="96"/>
      <c r="AH38" s="96"/>
      <c r="AI38" s="113"/>
      <c r="AJ38" s="96"/>
      <c r="AK38" s="96"/>
      <c r="AL38" s="113"/>
      <c r="AM38" s="113"/>
    </row>
    <row r="39" spans="1:39" s="138" customFormat="1" ht="15">
      <c r="A39" s="13">
        <v>6</v>
      </c>
      <c r="B39" s="139" t="s">
        <v>114</v>
      </c>
      <c r="C39" s="101">
        <v>16.746456533000003</v>
      </c>
      <c r="D39" s="101">
        <v>25.638645101000012</v>
      </c>
      <c r="E39" s="110">
        <v>53.098926035351781</v>
      </c>
      <c r="F39" s="101">
        <v>84.896510665999998</v>
      </c>
      <c r="G39" s="101">
        <v>142.531193892</v>
      </c>
      <c r="H39" s="110">
        <v>67.888164983301237</v>
      </c>
      <c r="I39" s="110">
        <v>4.6592206818979458E-2</v>
      </c>
      <c r="J39" s="102">
        <v>2252</v>
      </c>
      <c r="K39" s="102">
        <v>4688</v>
      </c>
      <c r="L39" s="110">
        <v>108.17051509769095</v>
      </c>
      <c r="M39" s="101">
        <v>17870</v>
      </c>
      <c r="N39" s="101">
        <v>25404</v>
      </c>
      <c r="O39" s="110">
        <v>42.160044767767204</v>
      </c>
      <c r="P39" s="110">
        <v>0.12255938381827286</v>
      </c>
      <c r="Q39" s="102">
        <v>24933</v>
      </c>
      <c r="R39" s="102">
        <v>13546</v>
      </c>
      <c r="S39" s="110">
        <v>-45.670396663056991</v>
      </c>
      <c r="T39" s="102">
        <v>331640</v>
      </c>
      <c r="U39" s="102">
        <v>154826</v>
      </c>
      <c r="V39" s="110">
        <v>-53.315040405258721</v>
      </c>
      <c r="W39" s="110">
        <v>7.2298362255729068E-2</v>
      </c>
      <c r="X39" s="101">
        <v>1306.9290128000002</v>
      </c>
      <c r="Y39" s="101">
        <v>1507.3319765000001</v>
      </c>
      <c r="Z39" s="110">
        <v>15.333882845760005</v>
      </c>
      <c r="AA39" s="101">
        <v>11582.042711799993</v>
      </c>
      <c r="AB39" s="101">
        <v>12696.715266599993</v>
      </c>
      <c r="AC39" s="110">
        <v>9.6241447431751439</v>
      </c>
      <c r="AD39" s="110">
        <v>0.15133332210722852</v>
      </c>
      <c r="AE39" s="110"/>
      <c r="AF39" s="110"/>
      <c r="AG39" s="101"/>
      <c r="AH39" s="101"/>
      <c r="AI39" s="110"/>
      <c r="AJ39" s="101"/>
      <c r="AK39" s="101"/>
      <c r="AL39" s="110"/>
      <c r="AM39" s="110"/>
    </row>
    <row r="40" spans="1:39">
      <c r="A40" s="140"/>
      <c r="B40" s="141" t="s">
        <v>79</v>
      </c>
      <c r="C40" s="96">
        <v>2.7539699999999997E-2</v>
      </c>
      <c r="D40" s="96">
        <v>5.0029999999999991E-2</v>
      </c>
      <c r="E40" s="113">
        <v>-54.635297408650871</v>
      </c>
      <c r="F40" s="96">
        <v>0.30249549999999997</v>
      </c>
      <c r="G40" s="96">
        <v>0.33652650000000001</v>
      </c>
      <c r="H40" s="113">
        <v>6.1057277523360654</v>
      </c>
      <c r="I40" s="113">
        <v>0.52561713647953079</v>
      </c>
      <c r="J40" s="103">
        <v>7</v>
      </c>
      <c r="K40" s="103">
        <v>10</v>
      </c>
      <c r="L40" s="113">
        <v>-50.976909413854358</v>
      </c>
      <c r="M40" s="103">
        <v>207</v>
      </c>
      <c r="N40" s="103">
        <v>60</v>
      </c>
      <c r="O40" s="113">
        <v>10.653104925053537</v>
      </c>
      <c r="P40" s="113">
        <v>0.39497180069497462</v>
      </c>
      <c r="Q40" s="103"/>
      <c r="R40" s="103"/>
      <c r="S40" s="113" t="s">
        <v>126</v>
      </c>
      <c r="T40" s="103"/>
      <c r="U40" s="103"/>
      <c r="V40" s="113" t="s">
        <v>126</v>
      </c>
      <c r="W40" s="113" t="s">
        <v>126</v>
      </c>
      <c r="X40" s="96">
        <v>0.65</v>
      </c>
      <c r="Y40" s="96">
        <v>0.6</v>
      </c>
      <c r="Z40" s="113">
        <v>-57.759066182963004</v>
      </c>
      <c r="AA40" s="96">
        <v>1.05359</v>
      </c>
      <c r="AB40" s="96">
        <v>3.65</v>
      </c>
      <c r="AC40" s="113">
        <v>19.207080956742573</v>
      </c>
      <c r="AD40" s="113">
        <v>1.1542179136521871</v>
      </c>
      <c r="AE40" s="113"/>
      <c r="AF40" s="113"/>
      <c r="AG40" s="96"/>
      <c r="AH40" s="96"/>
      <c r="AI40" s="113"/>
      <c r="AJ40" s="96"/>
      <c r="AK40" s="96"/>
      <c r="AL40" s="113"/>
      <c r="AM40" s="113"/>
    </row>
    <row r="41" spans="1:39">
      <c r="A41" s="140"/>
      <c r="B41" s="141" t="s">
        <v>80</v>
      </c>
      <c r="C41" s="96">
        <v>1.5809010549999996</v>
      </c>
      <c r="D41" s="96">
        <v>22.313227012999995</v>
      </c>
      <c r="E41" s="113">
        <v>29.314902688009315</v>
      </c>
      <c r="F41" s="96">
        <v>8.4896124110000013</v>
      </c>
      <c r="G41" s="96">
        <v>82.577670902999998</v>
      </c>
      <c r="H41" s="113">
        <v>38.603692543507066</v>
      </c>
      <c r="I41" s="113">
        <v>0.66240484502985297</v>
      </c>
      <c r="J41" s="103">
        <v>2243</v>
      </c>
      <c r="K41" s="103">
        <v>4676</v>
      </c>
      <c r="L41" s="113">
        <v>15.586854460093891</v>
      </c>
      <c r="M41" s="103">
        <v>17608</v>
      </c>
      <c r="N41" s="103">
        <v>25327</v>
      </c>
      <c r="O41" s="113">
        <v>16.306274370790508</v>
      </c>
      <c r="P41" s="113">
        <v>0.23379579438348536</v>
      </c>
      <c r="Q41" s="103"/>
      <c r="R41" s="103"/>
      <c r="S41" s="113" t="s">
        <v>126</v>
      </c>
      <c r="T41" s="103"/>
      <c r="U41" s="103"/>
      <c r="V41" s="113" t="s">
        <v>126</v>
      </c>
      <c r="W41" s="113" t="s">
        <v>126</v>
      </c>
      <c r="X41" s="96">
        <v>752.80383960000006</v>
      </c>
      <c r="Y41" s="96">
        <v>1111.1980075000001</v>
      </c>
      <c r="Z41" s="113">
        <v>38.031697021079005</v>
      </c>
      <c r="AA41" s="96">
        <v>7153.5071685999937</v>
      </c>
      <c r="AB41" s="96">
        <v>7813.9645478999937</v>
      </c>
      <c r="AC41" s="113">
        <v>46.930385804635335</v>
      </c>
      <c r="AD41" s="113">
        <v>0.24635611176264263</v>
      </c>
      <c r="AE41" s="113"/>
      <c r="AF41" s="113"/>
      <c r="AG41" s="96"/>
      <c r="AH41" s="96"/>
      <c r="AI41" s="113"/>
      <c r="AJ41" s="96"/>
      <c r="AK41" s="96"/>
      <c r="AL41" s="113"/>
      <c r="AM41" s="113"/>
    </row>
    <row r="42" spans="1:39">
      <c r="A42" s="140"/>
      <c r="B42" s="141" t="s">
        <v>81</v>
      </c>
      <c r="C42" s="96">
        <v>15.130276747000005</v>
      </c>
      <c r="D42" s="96">
        <v>3.0881071530000153</v>
      </c>
      <c r="E42" s="113">
        <v>-7.0870168136038743</v>
      </c>
      <c r="F42" s="96">
        <v>75.187831599999996</v>
      </c>
      <c r="G42" s="96">
        <v>57.003669470000013</v>
      </c>
      <c r="H42" s="113">
        <v>10.142673147121295</v>
      </c>
      <c r="I42" s="113">
        <v>0.16246492393292442</v>
      </c>
      <c r="J42" s="103">
        <v>1</v>
      </c>
      <c r="K42" s="103">
        <v>1</v>
      </c>
      <c r="L42" s="113">
        <v>-75</v>
      </c>
      <c r="M42" s="103">
        <v>43</v>
      </c>
      <c r="N42" s="103">
        <v>8</v>
      </c>
      <c r="O42" s="113">
        <v>0</v>
      </c>
      <c r="P42" s="113">
        <v>1.0014836795252227</v>
      </c>
      <c r="Q42" s="103">
        <v>24685</v>
      </c>
      <c r="R42" s="103">
        <v>6421</v>
      </c>
      <c r="S42" s="113">
        <v>-38.45611102122993</v>
      </c>
      <c r="T42" s="103">
        <v>301853</v>
      </c>
      <c r="U42" s="103">
        <v>73320</v>
      </c>
      <c r="V42" s="113">
        <v>32.948520774831856</v>
      </c>
      <c r="W42" s="113">
        <v>1.3478832633985782</v>
      </c>
      <c r="X42" s="96">
        <v>555.80517320000001</v>
      </c>
      <c r="Y42" s="96">
        <v>175.275769</v>
      </c>
      <c r="Z42" s="113">
        <v>-5.0742119726450259</v>
      </c>
      <c r="AA42" s="96">
        <v>3648.7251532</v>
      </c>
      <c r="AB42" s="96">
        <v>2414.6663186999999</v>
      </c>
      <c r="AC42" s="113">
        <v>15.77350576829688</v>
      </c>
      <c r="AD42" s="113">
        <v>0.79056490456387796</v>
      </c>
      <c r="AE42" s="113"/>
      <c r="AF42" s="113"/>
      <c r="AG42" s="96"/>
      <c r="AH42" s="96"/>
      <c r="AI42" s="113"/>
      <c r="AJ42" s="96"/>
      <c r="AK42" s="96"/>
      <c r="AL42" s="113"/>
      <c r="AM42" s="113"/>
    </row>
    <row r="43" spans="1:39">
      <c r="A43" s="140"/>
      <c r="B43" s="141" t="s">
        <v>82</v>
      </c>
      <c r="C43" s="96">
        <v>0</v>
      </c>
      <c r="D43" s="96">
        <v>0</v>
      </c>
      <c r="E43" s="113" t="s">
        <v>126</v>
      </c>
      <c r="F43" s="96">
        <v>0</v>
      </c>
      <c r="G43" s="96">
        <v>0</v>
      </c>
      <c r="H43" s="113" t="s">
        <v>126</v>
      </c>
      <c r="I43" s="113">
        <v>2.6372157375528592E-4</v>
      </c>
      <c r="J43" s="103">
        <v>0</v>
      </c>
      <c r="K43" s="103">
        <v>0</v>
      </c>
      <c r="L43" s="113" t="s">
        <v>126</v>
      </c>
      <c r="M43" s="103">
        <v>0</v>
      </c>
      <c r="N43" s="103">
        <v>0</v>
      </c>
      <c r="O43" s="113" t="s">
        <v>126</v>
      </c>
      <c r="P43" s="113">
        <v>2.5043826696719257E-2</v>
      </c>
      <c r="Q43" s="106">
        <v>0</v>
      </c>
      <c r="R43" s="106">
        <v>0</v>
      </c>
      <c r="S43" s="113" t="s">
        <v>126</v>
      </c>
      <c r="T43" s="106">
        <v>0</v>
      </c>
      <c r="U43" s="106">
        <v>0</v>
      </c>
      <c r="V43" s="113" t="s">
        <v>126</v>
      </c>
      <c r="W43" s="113">
        <v>8.1447072607103519E-4</v>
      </c>
      <c r="X43" s="96">
        <v>0</v>
      </c>
      <c r="Y43" s="96">
        <v>0</v>
      </c>
      <c r="Z43" s="113" t="s">
        <v>126</v>
      </c>
      <c r="AA43" s="96">
        <v>0</v>
      </c>
      <c r="AB43" s="96">
        <v>0</v>
      </c>
      <c r="AC43" s="113" t="s">
        <v>126</v>
      </c>
      <c r="AD43" s="113">
        <v>1.3885073989303571E-2</v>
      </c>
      <c r="AE43" s="113"/>
      <c r="AF43" s="113"/>
      <c r="AG43" s="96"/>
      <c r="AH43" s="96"/>
      <c r="AI43" s="113"/>
      <c r="AJ43" s="96"/>
      <c r="AK43" s="96"/>
      <c r="AL43" s="113"/>
      <c r="AM43" s="113"/>
    </row>
    <row r="44" spans="1:39" ht="15">
      <c r="A44" s="140"/>
      <c r="B44" s="142" t="s">
        <v>83</v>
      </c>
      <c r="C44" s="96">
        <v>7.7390310000000516E-3</v>
      </c>
      <c r="D44" s="96">
        <v>0.18728093500000015</v>
      </c>
      <c r="E44" s="113" t="s">
        <v>126</v>
      </c>
      <c r="F44" s="96">
        <v>0.91657115500000008</v>
      </c>
      <c r="G44" s="96">
        <v>2.6133270190000002</v>
      </c>
      <c r="H44" s="113" t="s">
        <v>126</v>
      </c>
      <c r="I44" s="113">
        <v>8.1489783161237117E-4</v>
      </c>
      <c r="J44" s="103">
        <v>1</v>
      </c>
      <c r="K44" s="103">
        <v>1</v>
      </c>
      <c r="L44" s="113" t="s">
        <v>126</v>
      </c>
      <c r="M44" s="103">
        <v>12</v>
      </c>
      <c r="N44" s="103">
        <v>9</v>
      </c>
      <c r="O44" s="113" t="s">
        <v>126</v>
      </c>
      <c r="P44" s="113">
        <v>1.8178512997636793E-2</v>
      </c>
      <c r="Q44" s="106">
        <v>248</v>
      </c>
      <c r="R44" s="106">
        <v>7125</v>
      </c>
      <c r="S44" s="113" t="s">
        <v>126</v>
      </c>
      <c r="T44" s="106">
        <v>29787</v>
      </c>
      <c r="U44" s="106">
        <v>81506</v>
      </c>
      <c r="V44" s="113" t="s">
        <v>126</v>
      </c>
      <c r="W44" s="113">
        <v>1.4241201984790625E-3</v>
      </c>
      <c r="X44" s="96">
        <v>-2.33</v>
      </c>
      <c r="Y44" s="96">
        <v>220.25819999999999</v>
      </c>
      <c r="Z44" s="113" t="s">
        <v>126</v>
      </c>
      <c r="AA44" s="96">
        <v>778.75679999999988</v>
      </c>
      <c r="AB44" s="96">
        <v>2464.4344000000001</v>
      </c>
      <c r="AC44" s="113" t="s">
        <v>126</v>
      </c>
      <c r="AD44" s="113">
        <v>2.7547128102448065E-3</v>
      </c>
      <c r="AE44" s="113"/>
      <c r="AF44" s="113"/>
      <c r="AG44" s="96"/>
      <c r="AH44" s="96"/>
      <c r="AI44" s="113"/>
      <c r="AJ44" s="96"/>
      <c r="AK44" s="96"/>
      <c r="AL44" s="113"/>
      <c r="AM44" s="113"/>
    </row>
    <row r="45" spans="1:39">
      <c r="A45" s="140"/>
      <c r="B45" s="144"/>
      <c r="C45" s="96"/>
      <c r="D45" s="96"/>
      <c r="E45" s="113"/>
      <c r="F45" s="96"/>
      <c r="G45" s="96"/>
      <c r="H45" s="113"/>
      <c r="I45" s="113"/>
      <c r="J45" s="103"/>
      <c r="K45" s="103"/>
      <c r="L45" s="113"/>
      <c r="M45" s="103"/>
      <c r="N45" s="103"/>
      <c r="O45" s="113"/>
      <c r="P45" s="113"/>
      <c r="Q45" s="106"/>
      <c r="R45" s="106"/>
      <c r="S45" s="113"/>
      <c r="T45" s="106"/>
      <c r="U45" s="106"/>
      <c r="V45" s="113"/>
      <c r="W45" s="113"/>
      <c r="X45" s="96"/>
      <c r="Y45" s="96"/>
      <c r="Z45" s="113"/>
      <c r="AA45" s="96"/>
      <c r="AB45" s="96"/>
      <c r="AC45" s="113"/>
      <c r="AD45" s="113"/>
      <c r="AE45" s="113"/>
      <c r="AF45" s="113"/>
      <c r="AG45" s="96"/>
      <c r="AH45" s="96"/>
      <c r="AI45" s="113"/>
      <c r="AJ45" s="96"/>
      <c r="AK45" s="96"/>
      <c r="AL45" s="113"/>
      <c r="AM45" s="113"/>
    </row>
    <row r="46" spans="1:39" s="138" customFormat="1" ht="15">
      <c r="A46" s="13">
        <v>7</v>
      </c>
      <c r="B46" s="139" t="s">
        <v>88</v>
      </c>
      <c r="C46" s="101">
        <v>50.13433971834619</v>
      </c>
      <c r="D46" s="101">
        <v>54.665293043363874</v>
      </c>
      <c r="E46" s="110">
        <v>9.0376244116757043</v>
      </c>
      <c r="F46" s="101">
        <v>600.01165185439459</v>
      </c>
      <c r="G46" s="101">
        <v>549.08040960261781</v>
      </c>
      <c r="H46" s="110">
        <v>-8.4883755331031985</v>
      </c>
      <c r="I46" s="110">
        <v>0.17948960719321555</v>
      </c>
      <c r="J46" s="102">
        <v>6393</v>
      </c>
      <c r="K46" s="102">
        <v>5247</v>
      </c>
      <c r="L46" s="110">
        <v>-17.925856405443451</v>
      </c>
      <c r="M46" s="101">
        <v>69178</v>
      </c>
      <c r="N46" s="101">
        <v>57548</v>
      </c>
      <c r="O46" s="110">
        <v>-16.811703142617596</v>
      </c>
      <c r="P46" s="110">
        <v>0.27763531018634729</v>
      </c>
      <c r="Q46" s="102">
        <v>43080</v>
      </c>
      <c r="R46" s="102">
        <v>28285</v>
      </c>
      <c r="S46" s="110">
        <v>-34.343082636954506</v>
      </c>
      <c r="T46" s="102">
        <v>442525</v>
      </c>
      <c r="U46" s="102">
        <v>277241</v>
      </c>
      <c r="V46" s="110">
        <v>-37.35020620303937</v>
      </c>
      <c r="W46" s="110">
        <v>0.12946191369757395</v>
      </c>
      <c r="X46" s="101">
        <v>838.64366559999962</v>
      </c>
      <c r="Y46" s="101">
        <v>1058.9803045999997</v>
      </c>
      <c r="Z46" s="110">
        <v>26.272974808956828</v>
      </c>
      <c r="AA46" s="101">
        <v>12240.2931596</v>
      </c>
      <c r="AB46" s="101">
        <v>9405.7238567000004</v>
      </c>
      <c r="AC46" s="110">
        <v>-23.157691290072258</v>
      </c>
      <c r="AD46" s="110">
        <v>0.11210769149104434</v>
      </c>
      <c r="AE46" s="110"/>
      <c r="AF46" s="110"/>
      <c r="AG46" s="101"/>
      <c r="AH46" s="101"/>
      <c r="AI46" s="110"/>
      <c r="AJ46" s="101"/>
      <c r="AK46" s="101"/>
      <c r="AL46" s="110"/>
      <c r="AM46" s="110"/>
    </row>
    <row r="47" spans="1:39">
      <c r="A47" s="140"/>
      <c r="B47" s="141" t="s">
        <v>79</v>
      </c>
      <c r="C47" s="96">
        <v>1.3560037800000009</v>
      </c>
      <c r="D47" s="96">
        <v>0.96153764799999875</v>
      </c>
      <c r="E47" s="113">
        <v>-29.090341621319215</v>
      </c>
      <c r="F47" s="96">
        <v>12.874964499999999</v>
      </c>
      <c r="G47" s="96">
        <v>13.36296746</v>
      </c>
      <c r="H47" s="113">
        <v>3.7903247034195786</v>
      </c>
      <c r="I47" s="113">
        <v>3.3717419250418858E-2</v>
      </c>
      <c r="J47" s="103">
        <v>56</v>
      </c>
      <c r="K47" s="103">
        <v>40</v>
      </c>
      <c r="L47" s="113">
        <v>-28.571428571428569</v>
      </c>
      <c r="M47" s="103">
        <v>577</v>
      </c>
      <c r="N47" s="103">
        <v>471</v>
      </c>
      <c r="O47" s="113">
        <v>-18.370883882149048</v>
      </c>
      <c r="P47" s="113">
        <v>4.5000415608933968E-2</v>
      </c>
      <c r="Q47" s="103"/>
      <c r="R47" s="103"/>
      <c r="S47" s="113" t="s">
        <v>126</v>
      </c>
      <c r="T47" s="103"/>
      <c r="U47" s="103"/>
      <c r="V47" s="113" t="s">
        <v>126</v>
      </c>
      <c r="W47" s="113" t="s">
        <v>126</v>
      </c>
      <c r="X47" s="96">
        <v>4.7265582999999962</v>
      </c>
      <c r="Y47" s="96">
        <v>2.1411259000000018</v>
      </c>
      <c r="Z47" s="113">
        <v>-54.700105994672633</v>
      </c>
      <c r="AA47" s="96">
        <v>50.445541499999997</v>
      </c>
      <c r="AB47" s="96">
        <v>34.769409899999999</v>
      </c>
      <c r="AC47" s="113">
        <v>-31.075355985622632</v>
      </c>
      <c r="AD47" s="113">
        <v>0.1104863129208994</v>
      </c>
      <c r="AE47" s="113"/>
      <c r="AF47" s="113"/>
      <c r="AG47" s="96"/>
      <c r="AH47" s="96"/>
      <c r="AI47" s="113"/>
      <c r="AJ47" s="96"/>
      <c r="AK47" s="96"/>
      <c r="AL47" s="113"/>
      <c r="AM47" s="113"/>
    </row>
    <row r="48" spans="1:39">
      <c r="A48" s="140"/>
      <c r="B48" s="141" t="s">
        <v>80</v>
      </c>
      <c r="C48" s="96">
        <v>42.782848186347053</v>
      </c>
      <c r="D48" s="96">
        <v>44.716336012975923</v>
      </c>
      <c r="E48" s="113">
        <v>4.5193060036752941</v>
      </c>
      <c r="F48" s="96">
        <v>463.83986183138006</v>
      </c>
      <c r="G48" s="96">
        <v>463.8106856916263</v>
      </c>
      <c r="H48" s="113">
        <v>-6.2901320379338266E-3</v>
      </c>
      <c r="I48" s="113">
        <v>0.52106486490669957</v>
      </c>
      <c r="J48" s="103">
        <v>6337</v>
      </c>
      <c r="K48" s="103">
        <v>5202</v>
      </c>
      <c r="L48" s="113">
        <v>-17.910683288622376</v>
      </c>
      <c r="M48" s="103">
        <v>68601</v>
      </c>
      <c r="N48" s="103">
        <v>57072</v>
      </c>
      <c r="O48" s="113">
        <v>-16.805877465343066</v>
      </c>
      <c r="P48" s="113">
        <v>0.29048621015052634</v>
      </c>
      <c r="Q48" s="103"/>
      <c r="R48" s="103"/>
      <c r="S48" s="113" t="s">
        <v>126</v>
      </c>
      <c r="T48" s="103"/>
      <c r="U48" s="103"/>
      <c r="V48" s="113" t="s">
        <v>126</v>
      </c>
      <c r="W48" s="113" t="s">
        <v>126</v>
      </c>
      <c r="X48" s="96">
        <v>502.68506749999949</v>
      </c>
      <c r="Y48" s="96">
        <v>666.30887349999978</v>
      </c>
      <c r="Z48" s="113">
        <v>32.549963501750611</v>
      </c>
      <c r="AA48" s="96">
        <v>6537.4709476999997</v>
      </c>
      <c r="AB48" s="96">
        <v>6086.8566569999994</v>
      </c>
      <c r="AC48" s="113">
        <v>-6.8927922480257369</v>
      </c>
      <c r="AD48" s="113">
        <v>0.22975054586696309</v>
      </c>
      <c r="AE48" s="113"/>
      <c r="AF48" s="113"/>
      <c r="AG48" s="96"/>
      <c r="AH48" s="96"/>
      <c r="AI48" s="113"/>
      <c r="AJ48" s="96"/>
      <c r="AK48" s="96"/>
      <c r="AL48" s="113"/>
      <c r="AM48" s="113"/>
    </row>
    <row r="49" spans="1:39" ht="14.25" customHeight="1">
      <c r="A49" s="140"/>
      <c r="B49" s="141" t="s">
        <v>81</v>
      </c>
      <c r="C49" s="96">
        <v>5.9954877519991365</v>
      </c>
      <c r="D49" s="96">
        <v>8.9874193823879551</v>
      </c>
      <c r="E49" s="113">
        <v>49.90305633417713</v>
      </c>
      <c r="F49" s="96">
        <v>122.99632052301453</v>
      </c>
      <c r="G49" s="96">
        <v>71.906756450991494</v>
      </c>
      <c r="H49" s="113">
        <v>-41.537473523416004</v>
      </c>
      <c r="I49" s="113">
        <v>4.3854833066361114E-2</v>
      </c>
      <c r="J49" s="103">
        <v>0</v>
      </c>
      <c r="K49" s="103">
        <v>5</v>
      </c>
      <c r="L49" s="113" t="s">
        <v>126</v>
      </c>
      <c r="M49" s="103">
        <v>0</v>
      </c>
      <c r="N49" s="103">
        <v>5</v>
      </c>
      <c r="O49" s="113" t="s">
        <v>126</v>
      </c>
      <c r="P49" s="113">
        <v>0.18545994065281901</v>
      </c>
      <c r="Q49" s="103">
        <v>43080</v>
      </c>
      <c r="R49" s="103">
        <v>28285</v>
      </c>
      <c r="S49" s="113">
        <v>-34.343082636954506</v>
      </c>
      <c r="T49" s="103">
        <v>413748</v>
      </c>
      <c r="U49" s="103">
        <v>277241</v>
      </c>
      <c r="V49" s="113">
        <v>-32.992787880545649</v>
      </c>
      <c r="W49" s="113">
        <v>0.21821557806301597</v>
      </c>
      <c r="X49" s="96">
        <v>331.23203980000011</v>
      </c>
      <c r="Y49" s="96">
        <v>390.53030519999999</v>
      </c>
      <c r="Z49" s="113">
        <v>17.902333794703118</v>
      </c>
      <c r="AA49" s="96">
        <v>5390.4066703999997</v>
      </c>
      <c r="AB49" s="96">
        <v>3284.0977898000006</v>
      </c>
      <c r="AC49" s="113">
        <v>-39.075138656351115</v>
      </c>
      <c r="AD49" s="113">
        <v>0.18131691945896555</v>
      </c>
      <c r="AE49" s="113"/>
      <c r="AF49" s="113"/>
      <c r="AG49" s="96"/>
      <c r="AH49" s="96"/>
      <c r="AI49" s="113"/>
      <c r="AJ49" s="96"/>
      <c r="AK49" s="96"/>
      <c r="AL49" s="113"/>
      <c r="AM49" s="113"/>
    </row>
    <row r="50" spans="1:39">
      <c r="A50" s="140"/>
      <c r="B50" s="141" t="s">
        <v>82</v>
      </c>
      <c r="C50" s="96">
        <v>0</v>
      </c>
      <c r="D50" s="96">
        <v>0</v>
      </c>
      <c r="E50" s="113" t="s">
        <v>126</v>
      </c>
      <c r="F50" s="96">
        <v>0</v>
      </c>
      <c r="G50" s="96">
        <v>0</v>
      </c>
      <c r="H50" s="113" t="s">
        <v>126</v>
      </c>
      <c r="I50" s="113">
        <v>0</v>
      </c>
      <c r="J50" s="103">
        <v>0</v>
      </c>
      <c r="K50" s="103">
        <v>0</v>
      </c>
      <c r="L50" s="113" t="s">
        <v>126</v>
      </c>
      <c r="M50" s="103">
        <v>0</v>
      </c>
      <c r="N50" s="103">
        <v>0</v>
      </c>
      <c r="O50" s="113" t="s">
        <v>126</v>
      </c>
      <c r="P50" s="113">
        <v>0</v>
      </c>
      <c r="Q50" s="106">
        <v>0</v>
      </c>
      <c r="R50" s="106">
        <v>0</v>
      </c>
      <c r="S50" s="113" t="s">
        <v>126</v>
      </c>
      <c r="T50" s="106">
        <v>0</v>
      </c>
      <c r="U50" s="106">
        <v>0</v>
      </c>
      <c r="V50" s="113" t="s">
        <v>126</v>
      </c>
      <c r="W50" s="113">
        <v>0</v>
      </c>
      <c r="X50" s="96">
        <v>0</v>
      </c>
      <c r="Y50" s="96">
        <v>0</v>
      </c>
      <c r="Z50" s="113" t="s">
        <v>126</v>
      </c>
      <c r="AA50" s="96">
        <v>0</v>
      </c>
      <c r="AB50" s="96">
        <v>0</v>
      </c>
      <c r="AC50" s="113" t="s">
        <v>126</v>
      </c>
      <c r="AD50" s="113">
        <v>0</v>
      </c>
      <c r="AE50" s="113"/>
      <c r="AF50" s="113"/>
      <c r="AG50" s="96"/>
      <c r="AH50" s="96"/>
      <c r="AI50" s="113"/>
      <c r="AJ50" s="96"/>
      <c r="AK50" s="96"/>
      <c r="AL50" s="113"/>
      <c r="AM50" s="113"/>
    </row>
    <row r="51" spans="1:39" ht="15">
      <c r="A51" s="140"/>
      <c r="B51" s="142" t="s">
        <v>83</v>
      </c>
      <c r="C51" s="96">
        <v>0</v>
      </c>
      <c r="D51" s="96">
        <v>0</v>
      </c>
      <c r="E51" s="113" t="s">
        <v>126</v>
      </c>
      <c r="F51" s="96">
        <v>0.30050499999999997</v>
      </c>
      <c r="G51" s="96">
        <v>0</v>
      </c>
      <c r="H51" s="113">
        <v>-100</v>
      </c>
      <c r="I51" s="113">
        <v>0</v>
      </c>
      <c r="J51" s="103">
        <v>0</v>
      </c>
      <c r="K51" s="103">
        <v>0</v>
      </c>
      <c r="L51" s="113" t="s">
        <v>126</v>
      </c>
      <c r="M51" s="103">
        <v>0</v>
      </c>
      <c r="N51" s="103">
        <v>0</v>
      </c>
      <c r="O51" s="113" t="s">
        <v>126</v>
      </c>
      <c r="P51" s="113">
        <v>0</v>
      </c>
      <c r="Q51" s="106">
        <v>0</v>
      </c>
      <c r="R51" s="106">
        <v>0</v>
      </c>
      <c r="S51" s="113" t="s">
        <v>126</v>
      </c>
      <c r="T51" s="106">
        <v>28777</v>
      </c>
      <c r="U51" s="106">
        <v>0</v>
      </c>
      <c r="V51" s="113">
        <v>-100</v>
      </c>
      <c r="W51" s="113">
        <v>0</v>
      </c>
      <c r="X51" s="96">
        <v>0</v>
      </c>
      <c r="Y51" s="96">
        <v>0</v>
      </c>
      <c r="Z51" s="113" t="s">
        <v>126</v>
      </c>
      <c r="AA51" s="96">
        <v>261.97000000000003</v>
      </c>
      <c r="AB51" s="96">
        <v>0</v>
      </c>
      <c r="AC51" s="113">
        <v>-100</v>
      </c>
      <c r="AD51" s="113">
        <v>0</v>
      </c>
      <c r="AE51" s="113"/>
      <c r="AF51" s="113"/>
      <c r="AG51" s="96"/>
      <c r="AH51" s="96"/>
      <c r="AI51" s="113"/>
      <c r="AJ51" s="96"/>
      <c r="AK51" s="96"/>
      <c r="AL51" s="113"/>
      <c r="AM51" s="113"/>
    </row>
    <row r="52" spans="1:39">
      <c r="A52" s="140"/>
      <c r="B52" s="144"/>
      <c r="C52" s="104"/>
      <c r="D52" s="104"/>
      <c r="E52" s="113"/>
      <c r="F52" s="104"/>
      <c r="G52" s="104"/>
      <c r="H52" s="113"/>
      <c r="I52" s="110"/>
      <c r="J52" s="103"/>
      <c r="K52" s="103"/>
      <c r="L52" s="113"/>
      <c r="M52" s="103"/>
      <c r="N52" s="103"/>
      <c r="O52" s="113"/>
      <c r="P52" s="113"/>
      <c r="Q52" s="103"/>
      <c r="R52" s="103"/>
      <c r="S52" s="113"/>
      <c r="T52" s="103"/>
      <c r="U52" s="103"/>
      <c r="V52" s="113"/>
      <c r="W52" s="113"/>
      <c r="X52" s="96"/>
      <c r="Y52" s="96"/>
      <c r="Z52" s="113"/>
      <c r="AA52" s="96"/>
      <c r="AB52" s="96"/>
      <c r="AC52" s="113"/>
      <c r="AD52" s="113"/>
      <c r="AE52" s="113"/>
      <c r="AF52" s="113"/>
      <c r="AG52" s="96"/>
      <c r="AH52" s="96"/>
      <c r="AI52" s="113"/>
      <c r="AJ52" s="96"/>
      <c r="AK52" s="96"/>
      <c r="AL52" s="113"/>
      <c r="AM52" s="113"/>
    </row>
    <row r="53" spans="1:39" s="138" customFormat="1" ht="15">
      <c r="A53" s="13">
        <v>8</v>
      </c>
      <c r="B53" s="139" t="s">
        <v>89</v>
      </c>
      <c r="C53" s="101">
        <v>218.54959200295687</v>
      </c>
      <c r="D53" s="101">
        <v>203.93174299500194</v>
      </c>
      <c r="E53" s="110">
        <v>-6.688573002578357</v>
      </c>
      <c r="F53" s="101">
        <v>2232.4336114209573</v>
      </c>
      <c r="G53" s="101">
        <v>2491.6024157959414</v>
      </c>
      <c r="H53" s="110">
        <v>11.609250239249969</v>
      </c>
      <c r="I53" s="110">
        <v>0.81448314503979757</v>
      </c>
      <c r="J53" s="102">
        <v>14225</v>
      </c>
      <c r="K53" s="102">
        <v>13206</v>
      </c>
      <c r="L53" s="110">
        <v>-7.1634446397188078</v>
      </c>
      <c r="M53" s="101">
        <v>143392</v>
      </c>
      <c r="N53" s="101">
        <v>155555</v>
      </c>
      <c r="O53" s="110">
        <v>8.4823421111358996</v>
      </c>
      <c r="P53" s="110">
        <v>0.75046153951548711</v>
      </c>
      <c r="Q53" s="102">
        <v>48486</v>
      </c>
      <c r="R53" s="102">
        <v>296875</v>
      </c>
      <c r="S53" s="110">
        <v>512.2901456090417</v>
      </c>
      <c r="T53" s="102">
        <v>8333916</v>
      </c>
      <c r="U53" s="102">
        <v>6964759</v>
      </c>
      <c r="V53" s="110">
        <v>-16.428735302827626</v>
      </c>
      <c r="W53" s="110">
        <v>3.2523004482829068</v>
      </c>
      <c r="X53" s="101">
        <v>5567.6261980630006</v>
      </c>
      <c r="Y53" s="101">
        <v>8869.7670026999986</v>
      </c>
      <c r="Z53" s="110">
        <v>59.309671432069663</v>
      </c>
      <c r="AA53" s="101">
        <v>201989.09749575608</v>
      </c>
      <c r="AB53" s="101">
        <v>180224.25276859198</v>
      </c>
      <c r="AC53" s="110">
        <v>-10.775257178235275</v>
      </c>
      <c r="AD53" s="110">
        <v>2.1481095167590922</v>
      </c>
      <c r="AE53" s="110"/>
      <c r="AF53" s="110"/>
      <c r="AG53" s="101"/>
      <c r="AH53" s="101"/>
      <c r="AI53" s="110"/>
      <c r="AJ53" s="101"/>
      <c r="AK53" s="101"/>
      <c r="AL53" s="110"/>
      <c r="AM53" s="110"/>
    </row>
    <row r="54" spans="1:39">
      <c r="A54" s="140"/>
      <c r="B54" s="141" t="s">
        <v>79</v>
      </c>
      <c r="C54" s="96">
        <v>5.8437982039999996</v>
      </c>
      <c r="D54" s="96">
        <v>6.5244721000000006</v>
      </c>
      <c r="E54" s="113">
        <v>11.647799466006358</v>
      </c>
      <c r="F54" s="96">
        <v>80.594908738000015</v>
      </c>
      <c r="G54" s="96">
        <v>39.220070700000008</v>
      </c>
      <c r="H54" s="113">
        <v>-51.336788744934722</v>
      </c>
      <c r="I54" s="113">
        <v>9.8960022972544831E-2</v>
      </c>
      <c r="J54" s="103">
        <v>53</v>
      </c>
      <c r="K54" s="103">
        <v>51</v>
      </c>
      <c r="L54" s="113">
        <v>-3.7735849056603765</v>
      </c>
      <c r="M54" s="103">
        <v>557</v>
      </c>
      <c r="N54" s="103">
        <v>456</v>
      </c>
      <c r="O54" s="113">
        <v>-18.132854578096946</v>
      </c>
      <c r="P54" s="113">
        <v>4.3567281353872375E-2</v>
      </c>
      <c r="Q54" s="103"/>
      <c r="R54" s="103"/>
      <c r="S54" s="113" t="s">
        <v>126</v>
      </c>
      <c r="T54" s="103"/>
      <c r="U54" s="103"/>
      <c r="V54" s="113" t="s">
        <v>126</v>
      </c>
      <c r="W54" s="113" t="s">
        <v>126</v>
      </c>
      <c r="X54" s="96">
        <v>8.6887982039999958</v>
      </c>
      <c r="Y54" s="96">
        <v>7.0753471000000037</v>
      </c>
      <c r="Z54" s="113">
        <v>-18.569324158745225</v>
      </c>
      <c r="AA54" s="96">
        <v>95.311014897000007</v>
      </c>
      <c r="AB54" s="96">
        <v>43.719714875000001</v>
      </c>
      <c r="AC54" s="113">
        <v>-54.129420484876078</v>
      </c>
      <c r="AD54" s="113">
        <v>0.13892758353922338</v>
      </c>
      <c r="AE54" s="113"/>
      <c r="AF54" s="113"/>
      <c r="AG54" s="96"/>
      <c r="AH54" s="96"/>
      <c r="AI54" s="113"/>
      <c r="AJ54" s="96"/>
      <c r="AK54" s="96"/>
      <c r="AL54" s="113"/>
      <c r="AM54" s="113"/>
    </row>
    <row r="55" spans="1:39">
      <c r="A55" s="140"/>
      <c r="B55" s="141" t="s">
        <v>80</v>
      </c>
      <c r="C55" s="96">
        <v>168.94553719695691</v>
      </c>
      <c r="D55" s="96">
        <v>154.20496970000193</v>
      </c>
      <c r="E55" s="113">
        <v>-8.7250410644291847</v>
      </c>
      <c r="F55" s="96">
        <v>1199.1367275079565</v>
      </c>
      <c r="G55" s="96">
        <v>1739.6202754529422</v>
      </c>
      <c r="H55" s="113">
        <v>45.072720695347023</v>
      </c>
      <c r="I55" s="113">
        <v>1.9543642088930164</v>
      </c>
      <c r="J55" s="103">
        <v>14172</v>
      </c>
      <c r="K55" s="103">
        <v>13150</v>
      </c>
      <c r="L55" s="113">
        <v>-7.2114027660174944</v>
      </c>
      <c r="M55" s="103">
        <v>142815</v>
      </c>
      <c r="N55" s="103">
        <v>155079</v>
      </c>
      <c r="O55" s="113">
        <v>8.5873332633126687</v>
      </c>
      <c r="P55" s="113">
        <v>0.7893242042320836</v>
      </c>
      <c r="Q55" s="103"/>
      <c r="R55" s="103"/>
      <c r="S55" s="113" t="s">
        <v>126</v>
      </c>
      <c r="T55" s="103"/>
      <c r="U55" s="103"/>
      <c r="V55" s="113" t="s">
        <v>126</v>
      </c>
      <c r="W55" s="113" t="s">
        <v>126</v>
      </c>
      <c r="X55" s="96">
        <v>1907.759736059</v>
      </c>
      <c r="Y55" s="96">
        <v>1436.1465428999998</v>
      </c>
      <c r="Z55" s="113">
        <v>-24.720785549927083</v>
      </c>
      <c r="AA55" s="96">
        <v>16785.590566158997</v>
      </c>
      <c r="AB55" s="96">
        <v>18903.0881137</v>
      </c>
      <c r="AC55" s="113">
        <v>12.614971985615075</v>
      </c>
      <c r="AD55" s="113">
        <v>0.71350371093417353</v>
      </c>
      <c r="AE55" s="113"/>
      <c r="AF55" s="113"/>
      <c r="AG55" s="96"/>
      <c r="AH55" s="96"/>
      <c r="AI55" s="113"/>
      <c r="AJ55" s="96"/>
      <c r="AK55" s="96"/>
      <c r="AL55" s="113"/>
      <c r="AM55" s="113"/>
    </row>
    <row r="56" spans="1:39">
      <c r="A56" s="140"/>
      <c r="B56" s="141" t="s">
        <v>81</v>
      </c>
      <c r="C56" s="96">
        <v>41.753210610999986</v>
      </c>
      <c r="D56" s="96">
        <v>36.987994941999993</v>
      </c>
      <c r="E56" s="113">
        <v>-11.412812570022069</v>
      </c>
      <c r="F56" s="96">
        <v>616.74526603900017</v>
      </c>
      <c r="G56" s="96">
        <v>402.75253216199997</v>
      </c>
      <c r="H56" s="113">
        <v>-34.697101973940129</v>
      </c>
      <c r="I56" s="113">
        <v>0.24563262114397877</v>
      </c>
      <c r="J56" s="103">
        <v>0</v>
      </c>
      <c r="K56" s="103">
        <v>5</v>
      </c>
      <c r="L56" s="113" t="s">
        <v>126</v>
      </c>
      <c r="M56" s="103">
        <v>10</v>
      </c>
      <c r="N56" s="103">
        <v>11</v>
      </c>
      <c r="O56" s="113">
        <v>10.000000000000009</v>
      </c>
      <c r="P56" s="113">
        <v>0.40801186943620182</v>
      </c>
      <c r="Q56" s="103">
        <v>5338</v>
      </c>
      <c r="R56" s="103">
        <v>5763</v>
      </c>
      <c r="S56" s="113">
        <v>7.9617834394904552</v>
      </c>
      <c r="T56" s="103">
        <v>48216</v>
      </c>
      <c r="U56" s="103">
        <v>48557</v>
      </c>
      <c r="V56" s="113">
        <v>0.70723411315745111</v>
      </c>
      <c r="W56" s="113">
        <v>3.8219072301736996E-2</v>
      </c>
      <c r="X56" s="96">
        <v>1315.4885458000001</v>
      </c>
      <c r="Y56" s="96">
        <v>1490.7566276999999</v>
      </c>
      <c r="Z56" s="113">
        <v>13.323421360040232</v>
      </c>
      <c r="AA56" s="96">
        <v>10817.661255399998</v>
      </c>
      <c r="AB56" s="96">
        <v>12391.956112299998</v>
      </c>
      <c r="AC56" s="113">
        <v>14.55300567961617</v>
      </c>
      <c r="AD56" s="113">
        <v>0.68416699263080338</v>
      </c>
      <c r="AE56" s="113"/>
      <c r="AF56" s="113"/>
      <c r="AG56" s="96"/>
      <c r="AH56" s="96"/>
      <c r="AI56" s="113"/>
      <c r="AJ56" s="96"/>
      <c r="AK56" s="96"/>
      <c r="AL56" s="113"/>
      <c r="AM56" s="113"/>
    </row>
    <row r="57" spans="1:39">
      <c r="A57" s="140"/>
      <c r="B57" s="141" t="s">
        <v>82</v>
      </c>
      <c r="C57" s="96">
        <v>8.9552438999999998E-2</v>
      </c>
      <c r="D57" s="96">
        <v>6.4972585999999999E-2</v>
      </c>
      <c r="E57" s="113">
        <v>-27.447441157911957</v>
      </c>
      <c r="F57" s="96">
        <v>0.40984227600000006</v>
      </c>
      <c r="G57" s="96">
        <v>0.37397025499999997</v>
      </c>
      <c r="H57" s="113">
        <v>-8.7526404913874867</v>
      </c>
      <c r="I57" s="113">
        <v>1.739605727557772E-2</v>
      </c>
      <c r="J57" s="103">
        <v>0</v>
      </c>
      <c r="K57" s="103">
        <v>0</v>
      </c>
      <c r="L57" s="113" t="s">
        <v>126</v>
      </c>
      <c r="M57" s="103">
        <v>2</v>
      </c>
      <c r="N57" s="103">
        <v>0</v>
      </c>
      <c r="O57" s="113">
        <v>-100</v>
      </c>
      <c r="P57" s="113">
        <v>0</v>
      </c>
      <c r="Q57" s="106">
        <v>23</v>
      </c>
      <c r="R57" s="106">
        <v>38</v>
      </c>
      <c r="S57" s="113">
        <v>65.217391304347828</v>
      </c>
      <c r="T57" s="106">
        <v>238</v>
      </c>
      <c r="U57" s="106">
        <v>179</v>
      </c>
      <c r="V57" s="113">
        <v>-24.789915966386555</v>
      </c>
      <c r="W57" s="113">
        <v>2.2089433328290197E-3</v>
      </c>
      <c r="X57" s="96">
        <v>22.528199900000001</v>
      </c>
      <c r="Y57" s="96">
        <v>17.891761000000002</v>
      </c>
      <c r="Z57" s="113">
        <v>-20.580600849515719</v>
      </c>
      <c r="AA57" s="96">
        <v>145.28211430000002</v>
      </c>
      <c r="AB57" s="96">
        <v>129.04791069999999</v>
      </c>
      <c r="AC57" s="113">
        <v>-11.174261662022101</v>
      </c>
      <c r="AD57" s="113">
        <v>0.1410897471050819</v>
      </c>
      <c r="AE57" s="113"/>
      <c r="AF57" s="113"/>
      <c r="AG57" s="96"/>
      <c r="AH57" s="96"/>
      <c r="AI57" s="113"/>
      <c r="AJ57" s="96"/>
      <c r="AK57" s="96"/>
      <c r="AL57" s="113"/>
      <c r="AM57" s="113"/>
    </row>
    <row r="58" spans="1:39" ht="15">
      <c r="A58" s="140"/>
      <c r="B58" s="142" t="s">
        <v>83</v>
      </c>
      <c r="C58" s="96">
        <v>1.917493552</v>
      </c>
      <c r="D58" s="96">
        <v>6.1493336669999996</v>
      </c>
      <c r="E58" s="113">
        <v>220.69644565876482</v>
      </c>
      <c r="F58" s="96">
        <v>335.54686686000036</v>
      </c>
      <c r="G58" s="96">
        <v>309.63556722599924</v>
      </c>
      <c r="H58" s="113">
        <v>-7.7221104391393514</v>
      </c>
      <c r="I58" s="113">
        <v>2.7763479956907569</v>
      </c>
      <c r="J58" s="103">
        <v>0</v>
      </c>
      <c r="K58" s="103">
        <v>0</v>
      </c>
      <c r="L58" s="113" t="s">
        <v>126</v>
      </c>
      <c r="M58" s="103">
        <v>8</v>
      </c>
      <c r="N58" s="103">
        <v>9</v>
      </c>
      <c r="O58" s="113">
        <v>12.5</v>
      </c>
      <c r="P58" s="113">
        <v>3.2721323395746224E-2</v>
      </c>
      <c r="Q58" s="106">
        <v>43125</v>
      </c>
      <c r="R58" s="106">
        <v>291074</v>
      </c>
      <c r="S58" s="113">
        <v>574.95420289855076</v>
      </c>
      <c r="T58" s="106">
        <v>8285462</v>
      </c>
      <c r="U58" s="106">
        <v>6916023</v>
      </c>
      <c r="V58" s="113">
        <v>-16.528215324625229</v>
      </c>
      <c r="W58" s="113">
        <v>8.7548871532851216</v>
      </c>
      <c r="X58" s="96">
        <v>2313.1609181000003</v>
      </c>
      <c r="Y58" s="96">
        <v>5917.8967240000002</v>
      </c>
      <c r="Z58" s="113">
        <v>155.83592899627936</v>
      </c>
      <c r="AA58" s="96">
        <v>174145.25254500008</v>
      </c>
      <c r="AB58" s="96">
        <v>148756.440917017</v>
      </c>
      <c r="AC58" s="113">
        <v>-14.579100639807841</v>
      </c>
      <c r="AD58" s="113">
        <v>3.9080756606793319</v>
      </c>
      <c r="AE58" s="113"/>
      <c r="AF58" s="113"/>
      <c r="AG58" s="96"/>
      <c r="AH58" s="96"/>
      <c r="AI58" s="113"/>
      <c r="AJ58" s="96"/>
      <c r="AK58" s="96"/>
      <c r="AL58" s="113"/>
      <c r="AM58" s="113"/>
    </row>
    <row r="59" spans="1:39">
      <c r="A59" s="140"/>
      <c r="B59" s="144"/>
      <c r="C59" s="104"/>
      <c r="D59" s="104"/>
      <c r="E59" s="113"/>
      <c r="F59" s="104"/>
      <c r="G59" s="104"/>
      <c r="H59" s="113"/>
      <c r="I59" s="110"/>
      <c r="J59" s="103"/>
      <c r="K59" s="103"/>
      <c r="L59" s="113"/>
      <c r="M59" s="103"/>
      <c r="N59" s="103"/>
      <c r="O59" s="113"/>
      <c r="P59" s="113"/>
      <c r="Q59" s="103"/>
      <c r="R59" s="103"/>
      <c r="S59" s="113"/>
      <c r="T59" s="103"/>
      <c r="U59" s="103"/>
      <c r="V59" s="113"/>
      <c r="W59" s="113"/>
      <c r="X59" s="96"/>
      <c r="Y59" s="96"/>
      <c r="Z59" s="113"/>
      <c r="AA59" s="96"/>
      <c r="AB59" s="96"/>
      <c r="AC59" s="113"/>
      <c r="AD59" s="113"/>
      <c r="AE59" s="113"/>
      <c r="AF59" s="113"/>
      <c r="AG59" s="96"/>
      <c r="AH59" s="96"/>
      <c r="AI59" s="113"/>
      <c r="AJ59" s="96"/>
      <c r="AK59" s="96"/>
      <c r="AL59" s="113"/>
      <c r="AM59" s="113"/>
    </row>
    <row r="60" spans="1:39" s="145" customFormat="1" ht="15">
      <c r="A60" s="13">
        <v>9</v>
      </c>
      <c r="B60" s="139" t="s">
        <v>90</v>
      </c>
      <c r="C60" s="129">
        <v>10.374362394000068</v>
      </c>
      <c r="D60" s="129">
        <v>79.411772958509999</v>
      </c>
      <c r="E60" s="110">
        <v>665.46172133370987</v>
      </c>
      <c r="F60" s="129">
        <v>53.646276900003308</v>
      </c>
      <c r="G60" s="129">
        <v>177.6679049535104</v>
      </c>
      <c r="H60" s="110">
        <v>231.18403591116578</v>
      </c>
      <c r="I60" s="131">
        <v>5.807809186641049E-2</v>
      </c>
      <c r="J60" s="129">
        <v>17</v>
      </c>
      <c r="K60" s="129">
        <v>23</v>
      </c>
      <c r="L60" s="110">
        <v>35.294117647058833</v>
      </c>
      <c r="M60" s="129">
        <v>98</v>
      </c>
      <c r="N60" s="129">
        <v>366</v>
      </c>
      <c r="O60" s="110">
        <v>273.46938775510205</v>
      </c>
      <c r="P60" s="131">
        <v>1.765735099885367E-3</v>
      </c>
      <c r="Q60" s="102">
        <v>104133</v>
      </c>
      <c r="R60" s="102">
        <v>360200</v>
      </c>
      <c r="S60" s="110">
        <v>245.90379610690175</v>
      </c>
      <c r="T60" s="129">
        <v>582653</v>
      </c>
      <c r="U60" s="129">
        <v>1380543</v>
      </c>
      <c r="V60" s="110">
        <v>136.94085502005481</v>
      </c>
      <c r="W60" s="131">
        <v>0.64466561122557575</v>
      </c>
      <c r="X60" s="129">
        <v>628.80981270000007</v>
      </c>
      <c r="Y60" s="129">
        <v>28089.523960099999</v>
      </c>
      <c r="Z60" s="110">
        <v>4367.0937687006608</v>
      </c>
      <c r="AA60" s="129">
        <v>3208.8648739499999</v>
      </c>
      <c r="AB60" s="129">
        <v>39039.724356163671</v>
      </c>
      <c r="AC60" s="110">
        <v>1116.6210136516947</v>
      </c>
      <c r="AD60" s="131">
        <v>0.46531808085122284</v>
      </c>
      <c r="AE60" s="110"/>
      <c r="AF60" s="131"/>
      <c r="AG60" s="129"/>
      <c r="AH60" s="129"/>
      <c r="AI60" s="110"/>
      <c r="AJ60" s="129"/>
      <c r="AK60" s="129"/>
      <c r="AL60" s="110"/>
      <c r="AM60" s="131"/>
    </row>
    <row r="61" spans="1:39" s="146" customFormat="1">
      <c r="A61" s="140"/>
      <c r="B61" s="141" t="s">
        <v>79</v>
      </c>
      <c r="C61" s="96">
        <v>0</v>
      </c>
      <c r="D61" s="96">
        <v>0</v>
      </c>
      <c r="E61" s="113" t="s">
        <v>126</v>
      </c>
      <c r="F61" s="96">
        <v>0</v>
      </c>
      <c r="G61" s="96">
        <v>0</v>
      </c>
      <c r="H61" s="113" t="s">
        <v>126</v>
      </c>
      <c r="I61" s="113">
        <v>0</v>
      </c>
      <c r="J61" s="103">
        <v>0</v>
      </c>
      <c r="K61" s="103">
        <v>0</v>
      </c>
      <c r="L61" s="113" t="s">
        <v>126</v>
      </c>
      <c r="M61" s="103">
        <v>0</v>
      </c>
      <c r="N61" s="103">
        <v>0</v>
      </c>
      <c r="O61" s="113" t="s">
        <v>126</v>
      </c>
      <c r="P61" s="113">
        <v>0</v>
      </c>
      <c r="Q61" s="96">
        <v>0</v>
      </c>
      <c r="R61" s="96">
        <v>0</v>
      </c>
      <c r="S61" s="113" t="s">
        <v>126</v>
      </c>
      <c r="T61" s="96">
        <v>0</v>
      </c>
      <c r="U61" s="96">
        <v>0</v>
      </c>
      <c r="V61" s="113" t="s">
        <v>126</v>
      </c>
      <c r="W61" s="113">
        <v>0</v>
      </c>
      <c r="X61" s="96">
        <v>0</v>
      </c>
      <c r="Y61" s="96">
        <v>0</v>
      </c>
      <c r="Z61" s="113" t="s">
        <v>126</v>
      </c>
      <c r="AA61" s="96">
        <v>0</v>
      </c>
      <c r="AB61" s="96">
        <v>0</v>
      </c>
      <c r="AC61" s="113" t="s">
        <v>126</v>
      </c>
      <c r="AD61" s="113">
        <v>0</v>
      </c>
      <c r="AE61" s="113"/>
      <c r="AF61" s="113"/>
      <c r="AG61" s="96"/>
      <c r="AH61" s="96"/>
      <c r="AI61" s="113"/>
      <c r="AJ61" s="96"/>
      <c r="AK61" s="96"/>
      <c r="AL61" s="113"/>
      <c r="AM61" s="113"/>
    </row>
    <row r="62" spans="1:39" s="146" customFormat="1">
      <c r="A62" s="140"/>
      <c r="B62" s="141" t="s">
        <v>80</v>
      </c>
      <c r="C62" s="96">
        <v>0</v>
      </c>
      <c r="D62" s="96">
        <v>0</v>
      </c>
      <c r="E62" s="113" t="s">
        <v>126</v>
      </c>
      <c r="F62" s="96">
        <v>0</v>
      </c>
      <c r="G62" s="96">
        <v>0</v>
      </c>
      <c r="H62" s="113" t="s">
        <v>126</v>
      </c>
      <c r="I62" s="113">
        <v>0</v>
      </c>
      <c r="J62" s="103">
        <v>0</v>
      </c>
      <c r="K62" s="103">
        <v>0</v>
      </c>
      <c r="L62" s="113" t="s">
        <v>126</v>
      </c>
      <c r="M62" s="103">
        <v>0</v>
      </c>
      <c r="N62" s="103">
        <v>0</v>
      </c>
      <c r="O62" s="113" t="s">
        <v>126</v>
      </c>
      <c r="P62" s="113">
        <v>0</v>
      </c>
      <c r="Q62" s="96">
        <v>0</v>
      </c>
      <c r="R62" s="96">
        <v>0</v>
      </c>
      <c r="S62" s="113" t="s">
        <v>126</v>
      </c>
      <c r="T62" s="96">
        <v>0</v>
      </c>
      <c r="U62" s="96">
        <v>0</v>
      </c>
      <c r="V62" s="113" t="s">
        <v>126</v>
      </c>
      <c r="W62" s="113">
        <v>0</v>
      </c>
      <c r="X62" s="96">
        <v>0</v>
      </c>
      <c r="Y62" s="96">
        <v>0</v>
      </c>
      <c r="Z62" s="113" t="s">
        <v>126</v>
      </c>
      <c r="AA62" s="96">
        <v>0</v>
      </c>
      <c r="AB62" s="96">
        <v>0</v>
      </c>
      <c r="AC62" s="113" t="s">
        <v>126</v>
      </c>
      <c r="AD62" s="113">
        <v>0</v>
      </c>
      <c r="AE62" s="113"/>
      <c r="AF62" s="113"/>
      <c r="AG62" s="96"/>
      <c r="AH62" s="96"/>
      <c r="AI62" s="113"/>
      <c r="AJ62" s="96"/>
      <c r="AK62" s="96"/>
      <c r="AL62" s="113"/>
      <c r="AM62" s="113"/>
    </row>
    <row r="63" spans="1:39" s="146" customFormat="1">
      <c r="A63" s="140"/>
      <c r="B63" s="141" t="s">
        <v>81</v>
      </c>
      <c r="C63" s="96">
        <v>10.374362394000068</v>
      </c>
      <c r="D63" s="96">
        <v>37.752720661000005</v>
      </c>
      <c r="E63" s="113">
        <v>263.90400901007661</v>
      </c>
      <c r="F63" s="96">
        <v>53.641707154003306</v>
      </c>
      <c r="G63" s="96">
        <v>132.17371278799916</v>
      </c>
      <c r="H63" s="113">
        <v>146.40101853681401</v>
      </c>
      <c r="I63" s="113">
        <v>8.0610729730654362E-2</v>
      </c>
      <c r="J63" s="103">
        <v>17</v>
      </c>
      <c r="K63" s="103">
        <v>21</v>
      </c>
      <c r="L63" s="113">
        <v>23.529411764705888</v>
      </c>
      <c r="M63" s="103">
        <v>97</v>
      </c>
      <c r="N63" s="103">
        <v>343</v>
      </c>
      <c r="O63" s="113">
        <v>253.60824742268039</v>
      </c>
      <c r="P63" s="113">
        <v>12.722551928783382</v>
      </c>
      <c r="Q63" s="103">
        <v>104133</v>
      </c>
      <c r="R63" s="103">
        <v>268049</v>
      </c>
      <c r="S63" s="113">
        <v>157.41023498794809</v>
      </c>
      <c r="T63" s="103">
        <v>582093</v>
      </c>
      <c r="U63" s="103">
        <v>1264231</v>
      </c>
      <c r="V63" s="113">
        <v>117.18711614810692</v>
      </c>
      <c r="W63" s="113">
        <v>0.99507251261604435</v>
      </c>
      <c r="X63" s="96">
        <v>628.80981270000007</v>
      </c>
      <c r="Y63" s="96">
        <v>1944.5371451000001</v>
      </c>
      <c r="Z63" s="113">
        <v>209.24090334253779</v>
      </c>
      <c r="AA63" s="96">
        <v>3208.3272620500002</v>
      </c>
      <c r="AB63" s="96">
        <v>7823.1485333836781</v>
      </c>
      <c r="AC63" s="113">
        <v>143.83885727371157</v>
      </c>
      <c r="AD63" s="113">
        <v>0.43192051008610094</v>
      </c>
      <c r="AE63" s="113"/>
      <c r="AF63" s="113"/>
      <c r="AG63" s="96"/>
      <c r="AH63" s="96"/>
      <c r="AI63" s="113"/>
      <c r="AJ63" s="96"/>
      <c r="AK63" s="96"/>
      <c r="AL63" s="113"/>
      <c r="AM63" s="113"/>
    </row>
    <row r="64" spans="1:39" s="146" customFormat="1">
      <c r="A64" s="140"/>
      <c r="B64" s="141" t="s">
        <v>82</v>
      </c>
      <c r="C64" s="96">
        <v>0</v>
      </c>
      <c r="D64" s="96">
        <v>0</v>
      </c>
      <c r="E64" s="113" t="s">
        <v>126</v>
      </c>
      <c r="F64" s="96">
        <v>0</v>
      </c>
      <c r="G64" s="96">
        <v>0</v>
      </c>
      <c r="H64" s="113" t="s">
        <v>126</v>
      </c>
      <c r="I64" s="113">
        <v>0</v>
      </c>
      <c r="J64" s="103">
        <v>0</v>
      </c>
      <c r="K64" s="103">
        <v>0</v>
      </c>
      <c r="L64" s="113" t="s">
        <v>126</v>
      </c>
      <c r="M64" s="103">
        <v>0</v>
      </c>
      <c r="N64" s="103">
        <v>0</v>
      </c>
      <c r="O64" s="113" t="s">
        <v>126</v>
      </c>
      <c r="P64" s="113">
        <v>0</v>
      </c>
      <c r="Q64" s="106">
        <v>0</v>
      </c>
      <c r="R64" s="106">
        <v>0</v>
      </c>
      <c r="S64" s="113" t="s">
        <v>126</v>
      </c>
      <c r="T64" s="106">
        <v>0</v>
      </c>
      <c r="U64" s="106">
        <v>0</v>
      </c>
      <c r="V64" s="113" t="s">
        <v>126</v>
      </c>
      <c r="W64" s="113">
        <v>0</v>
      </c>
      <c r="X64" s="96">
        <v>0</v>
      </c>
      <c r="Y64" s="96">
        <v>0</v>
      </c>
      <c r="Z64" s="113" t="s">
        <v>126</v>
      </c>
      <c r="AA64" s="96">
        <v>0</v>
      </c>
      <c r="AB64" s="96">
        <v>0</v>
      </c>
      <c r="AC64" s="113" t="s">
        <v>126</v>
      </c>
      <c r="AD64" s="113">
        <v>0</v>
      </c>
      <c r="AE64" s="113"/>
      <c r="AF64" s="113"/>
      <c r="AG64" s="96"/>
      <c r="AH64" s="96"/>
      <c r="AI64" s="113"/>
      <c r="AJ64" s="96"/>
      <c r="AK64" s="96"/>
      <c r="AL64" s="113"/>
      <c r="AM64" s="113"/>
    </row>
    <row r="65" spans="1:39" s="146" customFormat="1" ht="15">
      <c r="A65" s="140"/>
      <c r="B65" s="142" t="s">
        <v>83</v>
      </c>
      <c r="C65" s="96">
        <v>0</v>
      </c>
      <c r="D65" s="96">
        <v>41.659052297509994</v>
      </c>
      <c r="E65" s="113" t="s">
        <v>126</v>
      </c>
      <c r="F65" s="96">
        <v>4.5697460000000047E-3</v>
      </c>
      <c r="G65" s="96">
        <v>45.494192165511237</v>
      </c>
      <c r="H65" s="113">
        <v>995451.87893399748</v>
      </c>
      <c r="I65" s="113">
        <v>0.4079237742804166</v>
      </c>
      <c r="J65" s="103">
        <v>0</v>
      </c>
      <c r="K65" s="103">
        <v>2</v>
      </c>
      <c r="L65" s="113" t="s">
        <v>126</v>
      </c>
      <c r="M65" s="103">
        <v>1</v>
      </c>
      <c r="N65" s="103">
        <v>23</v>
      </c>
      <c r="O65" s="113">
        <v>2200</v>
      </c>
      <c r="P65" s="113">
        <v>8.3621159789129249E-2</v>
      </c>
      <c r="Q65" s="106">
        <v>0</v>
      </c>
      <c r="R65" s="106">
        <v>92151</v>
      </c>
      <c r="S65" s="113" t="s">
        <v>126</v>
      </c>
      <c r="T65" s="106">
        <v>560</v>
      </c>
      <c r="U65" s="106">
        <v>116312</v>
      </c>
      <c r="V65" s="113">
        <v>20670</v>
      </c>
      <c r="W65" s="113">
        <v>0.14723757202266374</v>
      </c>
      <c r="X65" s="96">
        <v>0</v>
      </c>
      <c r="Y65" s="96">
        <v>26144.986815</v>
      </c>
      <c r="Z65" s="113" t="s">
        <v>126</v>
      </c>
      <c r="AA65" s="96">
        <v>0.53761190000000003</v>
      </c>
      <c r="AB65" s="96">
        <v>31216.575822779996</v>
      </c>
      <c r="AC65" s="113">
        <v>5806426.1990629286</v>
      </c>
      <c r="AD65" s="113">
        <v>0.82011064146669554</v>
      </c>
      <c r="AE65" s="113"/>
      <c r="AF65" s="113"/>
      <c r="AG65" s="96"/>
      <c r="AH65" s="96"/>
      <c r="AI65" s="113"/>
      <c r="AJ65" s="96"/>
      <c r="AK65" s="96"/>
      <c r="AL65" s="113"/>
      <c r="AM65" s="113"/>
    </row>
    <row r="66" spans="1:39">
      <c r="A66" s="140"/>
      <c r="B66" s="144"/>
      <c r="C66" s="96"/>
      <c r="D66" s="96"/>
      <c r="E66" s="113"/>
      <c r="F66" s="96"/>
      <c r="G66" s="96"/>
      <c r="H66" s="113"/>
      <c r="I66" s="113"/>
      <c r="J66" s="103"/>
      <c r="K66" s="103"/>
      <c r="L66" s="113"/>
      <c r="M66" s="103"/>
      <c r="N66" s="103"/>
      <c r="O66" s="113"/>
      <c r="P66" s="113"/>
      <c r="Q66" s="106"/>
      <c r="R66" s="106"/>
      <c r="S66" s="113"/>
      <c r="T66" s="106"/>
      <c r="U66" s="106"/>
      <c r="V66" s="113"/>
      <c r="W66" s="113"/>
      <c r="X66" s="96"/>
      <c r="Y66" s="96"/>
      <c r="Z66" s="113"/>
      <c r="AA66" s="96"/>
      <c r="AB66" s="96"/>
      <c r="AC66" s="113"/>
      <c r="AD66" s="113"/>
      <c r="AE66" s="113"/>
      <c r="AF66" s="113"/>
      <c r="AG66" s="96"/>
      <c r="AH66" s="96"/>
      <c r="AI66" s="113"/>
      <c r="AJ66" s="96"/>
      <c r="AK66" s="96"/>
      <c r="AL66" s="113"/>
      <c r="AM66" s="113"/>
    </row>
    <row r="67" spans="1:39" s="138" customFormat="1" ht="15">
      <c r="A67" s="13">
        <v>10</v>
      </c>
      <c r="B67" s="139" t="s">
        <v>91</v>
      </c>
      <c r="C67" s="101">
        <v>40.896794712999728</v>
      </c>
      <c r="D67" s="101">
        <v>55.248193874999259</v>
      </c>
      <c r="E67" s="110">
        <v>35.09174560674726</v>
      </c>
      <c r="F67" s="101">
        <v>377.41059290798114</v>
      </c>
      <c r="G67" s="101">
        <v>398.97750011999648</v>
      </c>
      <c r="H67" s="110">
        <v>5.7144414113659225</v>
      </c>
      <c r="I67" s="110">
        <v>0.13042227244511739</v>
      </c>
      <c r="J67" s="102">
        <v>4236</v>
      </c>
      <c r="K67" s="102">
        <v>3968</v>
      </c>
      <c r="L67" s="110">
        <v>-6.3267233238904597</v>
      </c>
      <c r="M67" s="101">
        <v>39338</v>
      </c>
      <c r="N67" s="101">
        <v>34715</v>
      </c>
      <c r="O67" s="110">
        <v>-11.75199552595455</v>
      </c>
      <c r="P67" s="110">
        <v>0.16747949178284294</v>
      </c>
      <c r="Q67" s="102">
        <v>17147</v>
      </c>
      <c r="R67" s="102">
        <v>430</v>
      </c>
      <c r="S67" s="110">
        <v>-97.492272700763976</v>
      </c>
      <c r="T67" s="102">
        <v>194980</v>
      </c>
      <c r="U67" s="102">
        <v>59438</v>
      </c>
      <c r="V67" s="110">
        <v>-69.515847779259417</v>
      </c>
      <c r="W67" s="110">
        <v>2.7755480705798929E-2</v>
      </c>
      <c r="X67" s="101">
        <v>759.63582717398833</v>
      </c>
      <c r="Y67" s="101">
        <v>695.70770746500057</v>
      </c>
      <c r="Z67" s="110">
        <v>-8.4156272548142397</v>
      </c>
      <c r="AA67" s="101">
        <v>7807.5053265011747</v>
      </c>
      <c r="AB67" s="101">
        <v>5999.3173835771249</v>
      </c>
      <c r="AC67" s="110">
        <v>-23.159612031086041</v>
      </c>
      <c r="AD67" s="110">
        <v>7.1506418074971503E-2</v>
      </c>
      <c r="AE67" s="110"/>
      <c r="AF67" s="110"/>
      <c r="AG67" s="101"/>
      <c r="AH67" s="101"/>
      <c r="AI67" s="110"/>
      <c r="AJ67" s="101"/>
      <c r="AK67" s="101"/>
      <c r="AL67" s="110"/>
      <c r="AM67" s="110"/>
    </row>
    <row r="68" spans="1:39">
      <c r="A68" s="140"/>
      <c r="B68" s="141" t="s">
        <v>79</v>
      </c>
      <c r="C68" s="96">
        <v>0.72960360000000013</v>
      </c>
      <c r="D68" s="96">
        <v>5.7086756000000003</v>
      </c>
      <c r="E68" s="113">
        <v>682.43522921213651</v>
      </c>
      <c r="F68" s="96">
        <v>35.008220915999999</v>
      </c>
      <c r="G68" s="96">
        <v>16.5221339</v>
      </c>
      <c r="H68" s="113">
        <v>-52.804988463584564</v>
      </c>
      <c r="I68" s="113">
        <v>4.1688623225747047E-2</v>
      </c>
      <c r="J68" s="103">
        <v>17</v>
      </c>
      <c r="K68" s="103">
        <v>16</v>
      </c>
      <c r="L68" s="113">
        <v>-5.8823529411764719</v>
      </c>
      <c r="M68" s="103">
        <v>158</v>
      </c>
      <c r="N68" s="103">
        <v>150</v>
      </c>
      <c r="O68" s="113">
        <v>-5.0632911392405111</v>
      </c>
      <c r="P68" s="113">
        <v>1.4331342550615914E-2</v>
      </c>
      <c r="Q68" s="103"/>
      <c r="R68" s="103"/>
      <c r="S68" s="113" t="s">
        <v>126</v>
      </c>
      <c r="T68" s="103"/>
      <c r="U68" s="103"/>
      <c r="V68" s="113" t="s">
        <v>126</v>
      </c>
      <c r="W68" s="113" t="s">
        <v>126</v>
      </c>
      <c r="X68" s="96">
        <v>0.27261449999999998</v>
      </c>
      <c r="Y68" s="96">
        <v>7.0434672000000003</v>
      </c>
      <c r="Z68" s="113">
        <v>2483.672988780861</v>
      </c>
      <c r="AA68" s="96">
        <v>45.592051099999999</v>
      </c>
      <c r="AB68" s="96">
        <v>20.088020799999995</v>
      </c>
      <c r="AC68" s="113">
        <v>-55.939642294356005</v>
      </c>
      <c r="AD68" s="113">
        <v>6.3833448955667657E-2</v>
      </c>
      <c r="AE68" s="113"/>
      <c r="AF68" s="113"/>
      <c r="AG68" s="96"/>
      <c r="AH68" s="96"/>
      <c r="AI68" s="113"/>
      <c r="AJ68" s="96"/>
      <c r="AK68" s="96"/>
      <c r="AL68" s="113"/>
      <c r="AM68" s="113"/>
    </row>
    <row r="69" spans="1:39">
      <c r="A69" s="140"/>
      <c r="B69" s="141" t="s">
        <v>80</v>
      </c>
      <c r="C69" s="96">
        <v>38.416135894999691</v>
      </c>
      <c r="D69" s="96">
        <v>49.592243849999257</v>
      </c>
      <c r="E69" s="113">
        <v>29.09222308445203</v>
      </c>
      <c r="F69" s="96">
        <v>325.17107187099759</v>
      </c>
      <c r="G69" s="96">
        <v>372.49400784799974</v>
      </c>
      <c r="H69" s="113">
        <v>14.553242914479236</v>
      </c>
      <c r="I69" s="113">
        <v>0.41847578304161792</v>
      </c>
      <c r="J69" s="103">
        <v>4219</v>
      </c>
      <c r="K69" s="103">
        <v>3952</v>
      </c>
      <c r="L69" s="113">
        <v>-6.3285138658449869</v>
      </c>
      <c r="M69" s="103">
        <v>39178</v>
      </c>
      <c r="N69" s="103">
        <v>34565</v>
      </c>
      <c r="O69" s="113">
        <v>-11.77446526111593</v>
      </c>
      <c r="P69" s="113">
        <v>0.17592963018385449</v>
      </c>
      <c r="Q69" s="103"/>
      <c r="R69" s="103"/>
      <c r="S69" s="113" t="s">
        <v>126</v>
      </c>
      <c r="T69" s="103"/>
      <c r="U69" s="103"/>
      <c r="V69" s="113" t="s">
        <v>126</v>
      </c>
      <c r="W69" s="113" t="s">
        <v>126</v>
      </c>
      <c r="X69" s="96">
        <v>568.25398229999939</v>
      </c>
      <c r="Y69" s="96">
        <v>684.27929210000059</v>
      </c>
      <c r="Z69" s="113">
        <v>20.417861275760973</v>
      </c>
      <c r="AA69" s="96">
        <v>5445.5373158999555</v>
      </c>
      <c r="AB69" s="96">
        <v>4948.3998464000961</v>
      </c>
      <c r="AC69" s="113">
        <v>-9.1292638478173807</v>
      </c>
      <c r="AD69" s="113">
        <v>0.18677909304319906</v>
      </c>
      <c r="AE69" s="113"/>
      <c r="AF69" s="113"/>
      <c r="AG69" s="96"/>
      <c r="AH69" s="96"/>
      <c r="AI69" s="113"/>
      <c r="AJ69" s="96"/>
      <c r="AK69" s="96"/>
      <c r="AL69" s="113"/>
      <c r="AM69" s="113"/>
    </row>
    <row r="70" spans="1:39">
      <c r="A70" s="140"/>
      <c r="B70" s="141" t="s">
        <v>81</v>
      </c>
      <c r="C70" s="96">
        <v>1.7140989730000413</v>
      </c>
      <c r="D70" s="96">
        <v>-5.3251863000000857E-2</v>
      </c>
      <c r="E70" s="113">
        <v>-103.10669709502238</v>
      </c>
      <c r="F70" s="96">
        <v>16.220843944983525</v>
      </c>
      <c r="G70" s="96">
        <v>9.8810935869967054</v>
      </c>
      <c r="H70" s="113">
        <v>-39.083973555811546</v>
      </c>
      <c r="I70" s="113">
        <v>6.0263281388053319E-3</v>
      </c>
      <c r="J70" s="103">
        <v>0</v>
      </c>
      <c r="K70" s="103">
        <v>0</v>
      </c>
      <c r="L70" s="113" t="s">
        <v>126</v>
      </c>
      <c r="M70" s="103">
        <v>0</v>
      </c>
      <c r="N70" s="103">
        <v>0</v>
      </c>
      <c r="O70" s="113" t="s">
        <v>126</v>
      </c>
      <c r="P70" s="113">
        <v>0</v>
      </c>
      <c r="Q70" s="103">
        <v>16502</v>
      </c>
      <c r="R70" s="103">
        <v>406</v>
      </c>
      <c r="S70" s="113">
        <v>-97.539692158526236</v>
      </c>
      <c r="T70" s="103">
        <v>185302</v>
      </c>
      <c r="U70" s="103">
        <v>58653</v>
      </c>
      <c r="V70" s="113">
        <v>-68.347346493831694</v>
      </c>
      <c r="W70" s="113">
        <v>4.6165604294206401E-2</v>
      </c>
      <c r="X70" s="96">
        <v>105.50519697398882</v>
      </c>
      <c r="Y70" s="96">
        <v>-1.3740958349999974</v>
      </c>
      <c r="Z70" s="113">
        <v>-101.30239635052175</v>
      </c>
      <c r="AA70" s="96">
        <v>1054.316146278142</v>
      </c>
      <c r="AB70" s="96">
        <v>910.90261517702879</v>
      </c>
      <c r="AC70" s="113">
        <v>-13.602516816931963</v>
      </c>
      <c r="AD70" s="113">
        <v>5.0291454969455307E-2</v>
      </c>
      <c r="AE70" s="113"/>
      <c r="AF70" s="113"/>
      <c r="AG70" s="96"/>
      <c r="AH70" s="96"/>
      <c r="AI70" s="113"/>
      <c r="AJ70" s="96"/>
      <c r="AK70" s="96"/>
      <c r="AL70" s="113"/>
      <c r="AM70" s="113"/>
    </row>
    <row r="71" spans="1:39">
      <c r="A71" s="140"/>
      <c r="B71" s="141" t="s">
        <v>82</v>
      </c>
      <c r="C71" s="96">
        <v>0</v>
      </c>
      <c r="D71" s="96">
        <v>0</v>
      </c>
      <c r="E71" s="113" t="s">
        <v>126</v>
      </c>
      <c r="F71" s="96">
        <v>0</v>
      </c>
      <c r="G71" s="96">
        <v>0</v>
      </c>
      <c r="H71" s="113" t="s">
        <v>126</v>
      </c>
      <c r="I71" s="113">
        <v>0</v>
      </c>
      <c r="J71" s="103">
        <v>0</v>
      </c>
      <c r="K71" s="103">
        <v>0</v>
      </c>
      <c r="L71" s="113" t="s">
        <v>126</v>
      </c>
      <c r="M71" s="103">
        <v>0</v>
      </c>
      <c r="N71" s="103">
        <v>0</v>
      </c>
      <c r="O71" s="113" t="s">
        <v>126</v>
      </c>
      <c r="P71" s="113">
        <v>0</v>
      </c>
      <c r="Q71" s="106">
        <v>0</v>
      </c>
      <c r="R71" s="106">
        <v>0</v>
      </c>
      <c r="S71" s="113" t="s">
        <v>126</v>
      </c>
      <c r="T71" s="106">
        <v>0</v>
      </c>
      <c r="U71" s="106">
        <v>0</v>
      </c>
      <c r="V71" s="113" t="s">
        <v>126</v>
      </c>
      <c r="W71" s="113">
        <v>0</v>
      </c>
      <c r="X71" s="96">
        <v>0</v>
      </c>
      <c r="Y71" s="96">
        <v>0</v>
      </c>
      <c r="Z71" s="113" t="s">
        <v>126</v>
      </c>
      <c r="AA71" s="96">
        <v>0</v>
      </c>
      <c r="AB71" s="96">
        <v>0</v>
      </c>
      <c r="AC71" s="113" t="s">
        <v>126</v>
      </c>
      <c r="AD71" s="113">
        <v>0</v>
      </c>
      <c r="AE71" s="113"/>
      <c r="AF71" s="113"/>
      <c r="AG71" s="96"/>
      <c r="AH71" s="96"/>
      <c r="AI71" s="113"/>
      <c r="AJ71" s="96"/>
      <c r="AK71" s="96"/>
      <c r="AL71" s="113"/>
      <c r="AM71" s="113"/>
    </row>
    <row r="72" spans="1:39" ht="15">
      <c r="A72" s="140"/>
      <c r="B72" s="142" t="s">
        <v>83</v>
      </c>
      <c r="C72" s="96">
        <v>3.6956244999999992E-2</v>
      </c>
      <c r="D72" s="96">
        <v>5.2628799999999889E-4</v>
      </c>
      <c r="E72" s="113">
        <v>-98.575915924358654</v>
      </c>
      <c r="F72" s="96">
        <v>1.0104561759999999</v>
      </c>
      <c r="G72" s="96">
        <v>8.0264784999999964E-2</v>
      </c>
      <c r="H72" s="113">
        <v>-92.056579304830734</v>
      </c>
      <c r="I72" s="113">
        <v>7.1969437153403325E-4</v>
      </c>
      <c r="J72" s="103">
        <v>0</v>
      </c>
      <c r="K72" s="103">
        <v>0</v>
      </c>
      <c r="L72" s="113" t="s">
        <v>126</v>
      </c>
      <c r="M72" s="103">
        <v>2</v>
      </c>
      <c r="N72" s="103">
        <v>0</v>
      </c>
      <c r="O72" s="113">
        <v>-100</v>
      </c>
      <c r="P72" s="113">
        <v>0</v>
      </c>
      <c r="Q72" s="106">
        <v>645</v>
      </c>
      <c r="R72" s="106">
        <v>24</v>
      </c>
      <c r="S72" s="113">
        <v>-96.279069767441854</v>
      </c>
      <c r="T72" s="106">
        <v>9678</v>
      </c>
      <c r="U72" s="106">
        <v>785</v>
      </c>
      <c r="V72" s="113">
        <v>-91.88882000413308</v>
      </c>
      <c r="W72" s="113">
        <v>9.9371942738316803E-4</v>
      </c>
      <c r="X72" s="96">
        <v>85.604033400000006</v>
      </c>
      <c r="Y72" s="96">
        <v>5.7590440000000003</v>
      </c>
      <c r="Z72" s="113">
        <v>-93.272461855751772</v>
      </c>
      <c r="AA72" s="96">
        <v>1262.0598132230768</v>
      </c>
      <c r="AB72" s="96">
        <v>119.92690120000003</v>
      </c>
      <c r="AC72" s="113">
        <v>-90.497526349901918</v>
      </c>
      <c r="AD72" s="113">
        <v>3.150676372405735E-3</v>
      </c>
      <c r="AE72" s="113"/>
      <c r="AF72" s="113"/>
      <c r="AG72" s="96"/>
      <c r="AH72" s="96"/>
      <c r="AI72" s="113"/>
      <c r="AJ72" s="96"/>
      <c r="AK72" s="96"/>
      <c r="AL72" s="113"/>
      <c r="AM72" s="113"/>
    </row>
    <row r="73" spans="1:39">
      <c r="A73" s="140"/>
      <c r="B73" s="144"/>
      <c r="C73" s="104"/>
      <c r="D73" s="104"/>
      <c r="E73" s="113"/>
      <c r="F73" s="104"/>
      <c r="G73" s="104"/>
      <c r="H73" s="113"/>
      <c r="I73" s="110"/>
      <c r="J73" s="103"/>
      <c r="K73" s="103"/>
      <c r="L73" s="113"/>
      <c r="M73" s="103"/>
      <c r="N73" s="103"/>
      <c r="O73" s="113"/>
      <c r="P73" s="113"/>
      <c r="Q73" s="103"/>
      <c r="R73" s="103"/>
      <c r="S73" s="113"/>
      <c r="T73" s="103"/>
      <c r="U73" s="103"/>
      <c r="V73" s="113"/>
      <c r="W73" s="113"/>
      <c r="X73" s="96"/>
      <c r="Y73" s="96"/>
      <c r="Z73" s="113"/>
      <c r="AA73" s="96"/>
      <c r="AB73" s="96"/>
      <c r="AC73" s="113"/>
      <c r="AD73" s="113"/>
      <c r="AE73" s="113"/>
      <c r="AF73" s="113"/>
      <c r="AG73" s="96"/>
      <c r="AH73" s="96"/>
      <c r="AI73" s="113"/>
      <c r="AJ73" s="96"/>
      <c r="AK73" s="96"/>
      <c r="AL73" s="113"/>
      <c r="AM73" s="113"/>
    </row>
    <row r="74" spans="1:39" s="147" customFormat="1" ht="15">
      <c r="A74" s="14">
        <v>11</v>
      </c>
      <c r="B74" s="139" t="s">
        <v>92</v>
      </c>
      <c r="C74" s="101">
        <v>32.801149496999997</v>
      </c>
      <c r="D74" s="101">
        <v>38.806502814000005</v>
      </c>
      <c r="E74" s="110">
        <v>18.308362386962251</v>
      </c>
      <c r="F74" s="101">
        <v>338.39782688000003</v>
      </c>
      <c r="G74" s="101">
        <v>378.09501342499993</v>
      </c>
      <c r="H74" s="110">
        <v>11.730922420810042</v>
      </c>
      <c r="I74" s="110">
        <v>0.12359596928705149</v>
      </c>
      <c r="J74" s="102">
        <v>2714</v>
      </c>
      <c r="K74" s="102">
        <v>3243</v>
      </c>
      <c r="L74" s="110">
        <v>19.491525423728806</v>
      </c>
      <c r="M74" s="101">
        <v>25758</v>
      </c>
      <c r="N74" s="101">
        <v>26660</v>
      </c>
      <c r="O74" s="110">
        <v>3.5018246758288685</v>
      </c>
      <c r="P74" s="110">
        <v>0.12861884634684123</v>
      </c>
      <c r="Q74" s="102">
        <v>5200</v>
      </c>
      <c r="R74" s="102">
        <v>14248</v>
      </c>
      <c r="S74" s="110">
        <v>174.00000000000003</v>
      </c>
      <c r="T74" s="102">
        <v>57228</v>
      </c>
      <c r="U74" s="102">
        <v>79280</v>
      </c>
      <c r="V74" s="110">
        <v>38.533584958411971</v>
      </c>
      <c r="W74" s="110">
        <v>3.7021005255152242E-2</v>
      </c>
      <c r="X74" s="101">
        <v>2998.7981255</v>
      </c>
      <c r="Y74" s="101">
        <v>3322.8473884000005</v>
      </c>
      <c r="Z74" s="110">
        <v>10.80597123709255</v>
      </c>
      <c r="AA74" s="101">
        <v>22968.174959200001</v>
      </c>
      <c r="AB74" s="101">
        <v>27173.588457400001</v>
      </c>
      <c r="AC74" s="110">
        <v>18.309741656315204</v>
      </c>
      <c r="AD74" s="110">
        <v>0.32388451095305937</v>
      </c>
      <c r="AE74" s="110"/>
      <c r="AF74" s="110"/>
      <c r="AG74" s="101"/>
      <c r="AH74" s="101"/>
      <c r="AI74" s="110"/>
      <c r="AJ74" s="101"/>
      <c r="AK74" s="101"/>
      <c r="AL74" s="110"/>
      <c r="AM74" s="110"/>
    </row>
    <row r="75" spans="1:39">
      <c r="A75" s="140"/>
      <c r="B75" s="141" t="s">
        <v>79</v>
      </c>
      <c r="C75" s="96">
        <v>0.42027025199999996</v>
      </c>
      <c r="D75" s="96">
        <v>1.541277698</v>
      </c>
      <c r="E75" s="113">
        <v>266.73490228378103</v>
      </c>
      <c r="F75" s="96">
        <v>4.4448810890000008</v>
      </c>
      <c r="G75" s="96">
        <v>19.155394130000001</v>
      </c>
      <c r="H75" s="113">
        <v>330.95402883566311</v>
      </c>
      <c r="I75" s="113">
        <v>4.8332861448741597E-2</v>
      </c>
      <c r="J75" s="103">
        <v>16</v>
      </c>
      <c r="K75" s="103">
        <v>27</v>
      </c>
      <c r="L75" s="113">
        <v>68.75</v>
      </c>
      <c r="M75" s="103">
        <v>143</v>
      </c>
      <c r="N75" s="103">
        <v>211</v>
      </c>
      <c r="O75" s="113">
        <v>47.55244755244756</v>
      </c>
      <c r="P75" s="113">
        <v>2.0159421854533052E-2</v>
      </c>
      <c r="Q75" s="103"/>
      <c r="R75" s="103"/>
      <c r="S75" s="113" t="s">
        <v>126</v>
      </c>
      <c r="T75" s="103"/>
      <c r="U75" s="103"/>
      <c r="V75" s="113" t="s">
        <v>126</v>
      </c>
      <c r="W75" s="113" t="s">
        <v>126</v>
      </c>
      <c r="X75" s="96">
        <v>0.2851438</v>
      </c>
      <c r="Y75" s="96">
        <v>0.78218379999999998</v>
      </c>
      <c r="Z75" s="113">
        <v>174.31204886797468</v>
      </c>
      <c r="AA75" s="96">
        <v>3.7087273000000005</v>
      </c>
      <c r="AB75" s="96">
        <v>19.479930399999997</v>
      </c>
      <c r="AC75" s="113">
        <v>425.24569277444567</v>
      </c>
      <c r="AD75" s="113">
        <v>6.1901127802912202E-2</v>
      </c>
      <c r="AE75" s="113"/>
      <c r="AF75" s="113"/>
      <c r="AG75" s="96"/>
      <c r="AH75" s="96"/>
      <c r="AI75" s="113"/>
      <c r="AJ75" s="96"/>
      <c r="AK75" s="96"/>
      <c r="AL75" s="113"/>
      <c r="AM75" s="113"/>
    </row>
    <row r="76" spans="1:39">
      <c r="A76" s="140"/>
      <c r="B76" s="141" t="s">
        <v>80</v>
      </c>
      <c r="C76" s="96">
        <v>29.964445399999999</v>
      </c>
      <c r="D76" s="96">
        <v>32.291670200000006</v>
      </c>
      <c r="E76" s="113">
        <v>7.766620636335908</v>
      </c>
      <c r="F76" s="96">
        <v>237.5273688</v>
      </c>
      <c r="G76" s="96">
        <v>259.40416699999997</v>
      </c>
      <c r="H76" s="113">
        <v>9.2102220937833934</v>
      </c>
      <c r="I76" s="113">
        <v>0.2914257937643937</v>
      </c>
      <c r="J76" s="103">
        <v>2695</v>
      </c>
      <c r="K76" s="103">
        <v>3211</v>
      </c>
      <c r="L76" s="113">
        <v>19.146567717996298</v>
      </c>
      <c r="M76" s="103">
        <v>25599</v>
      </c>
      <c r="N76" s="103">
        <v>26409</v>
      </c>
      <c r="O76" s="113">
        <v>3.1641861010195615</v>
      </c>
      <c r="P76" s="113">
        <v>0.13441705781933785</v>
      </c>
      <c r="Q76" s="103"/>
      <c r="R76" s="103"/>
      <c r="S76" s="113" t="s">
        <v>126</v>
      </c>
      <c r="T76" s="103"/>
      <c r="U76" s="103"/>
      <c r="V76" s="113" t="s">
        <v>126</v>
      </c>
      <c r="W76" s="113" t="s">
        <v>126</v>
      </c>
      <c r="X76" s="96">
        <v>381.90836379999996</v>
      </c>
      <c r="Y76" s="96">
        <v>358.64654220000006</v>
      </c>
      <c r="Z76" s="113">
        <v>-6.0909432222285069</v>
      </c>
      <c r="AA76" s="96">
        <v>2968.2062928</v>
      </c>
      <c r="AB76" s="96">
        <v>2939.1945825000003</v>
      </c>
      <c r="AC76" s="113">
        <v>-0.97741556475955393</v>
      </c>
      <c r="AD76" s="113">
        <v>0.11094093352141114</v>
      </c>
      <c r="AE76" s="113"/>
      <c r="AF76" s="113"/>
      <c r="AG76" s="96"/>
      <c r="AH76" s="96"/>
      <c r="AI76" s="113"/>
      <c r="AJ76" s="96"/>
      <c r="AK76" s="96"/>
      <c r="AL76" s="113"/>
      <c r="AM76" s="113"/>
    </row>
    <row r="77" spans="1:39">
      <c r="A77" s="140"/>
      <c r="B77" s="141" t="s">
        <v>81</v>
      </c>
      <c r="C77" s="96">
        <v>0.63637940900000001</v>
      </c>
      <c r="D77" s="96">
        <v>1.0709672289999999</v>
      </c>
      <c r="E77" s="113">
        <v>68.290679090781168</v>
      </c>
      <c r="F77" s="96">
        <v>5.8953045599999996</v>
      </c>
      <c r="G77" s="96">
        <v>6.4905598859999998</v>
      </c>
      <c r="H77" s="113">
        <v>10.097108977860847</v>
      </c>
      <c r="I77" s="113">
        <v>3.9584933927836064E-3</v>
      </c>
      <c r="J77" s="103">
        <v>0</v>
      </c>
      <c r="K77" s="103">
        <v>0</v>
      </c>
      <c r="L77" s="113" t="s">
        <v>126</v>
      </c>
      <c r="M77" s="103">
        <v>0</v>
      </c>
      <c r="N77" s="103">
        <v>14</v>
      </c>
      <c r="O77" s="113" t="s">
        <v>126</v>
      </c>
      <c r="P77" s="113">
        <v>0.51928783382789312</v>
      </c>
      <c r="Q77" s="103">
        <v>199</v>
      </c>
      <c r="R77" s="103">
        <v>408</v>
      </c>
      <c r="S77" s="113">
        <v>105.0251256281407</v>
      </c>
      <c r="T77" s="103">
        <v>1654</v>
      </c>
      <c r="U77" s="103">
        <v>2529</v>
      </c>
      <c r="V77" s="113">
        <v>52.902055622732782</v>
      </c>
      <c r="W77" s="113">
        <v>1.9905684834543498E-3</v>
      </c>
      <c r="X77" s="96">
        <v>30.283001800000001</v>
      </c>
      <c r="Y77" s="96">
        <v>57.027297399999995</v>
      </c>
      <c r="Z77" s="113">
        <v>88.314546149120503</v>
      </c>
      <c r="AA77" s="96">
        <v>255.1293407</v>
      </c>
      <c r="AB77" s="96">
        <v>340.64162980000003</v>
      </c>
      <c r="AC77" s="113">
        <v>33.517230462548689</v>
      </c>
      <c r="AD77" s="113">
        <v>1.8807019433662708E-2</v>
      </c>
      <c r="AE77" s="113"/>
      <c r="AF77" s="113"/>
      <c r="AG77" s="96"/>
      <c r="AH77" s="96"/>
      <c r="AI77" s="113"/>
      <c r="AJ77" s="96"/>
      <c r="AK77" s="96"/>
      <c r="AL77" s="113"/>
      <c r="AM77" s="113"/>
    </row>
    <row r="78" spans="1:39">
      <c r="A78" s="140"/>
      <c r="B78" s="141" t="s">
        <v>82</v>
      </c>
      <c r="C78" s="96">
        <v>0</v>
      </c>
      <c r="D78" s="96">
        <v>0</v>
      </c>
      <c r="E78" s="113" t="s">
        <v>126</v>
      </c>
      <c r="F78" s="96">
        <v>0</v>
      </c>
      <c r="G78" s="96">
        <v>0</v>
      </c>
      <c r="H78" s="113" t="s">
        <v>126</v>
      </c>
      <c r="I78" s="113">
        <v>0</v>
      </c>
      <c r="J78" s="103">
        <v>0</v>
      </c>
      <c r="K78" s="103">
        <v>0</v>
      </c>
      <c r="L78" s="113" t="s">
        <v>126</v>
      </c>
      <c r="M78" s="103">
        <v>0</v>
      </c>
      <c r="N78" s="103">
        <v>0</v>
      </c>
      <c r="O78" s="113" t="s">
        <v>126</v>
      </c>
      <c r="P78" s="113">
        <v>0</v>
      </c>
      <c r="Q78" s="106">
        <v>0</v>
      </c>
      <c r="R78" s="106">
        <v>0</v>
      </c>
      <c r="S78" s="113" t="s">
        <v>126</v>
      </c>
      <c r="T78" s="106">
        <v>0</v>
      </c>
      <c r="U78" s="106">
        <v>0</v>
      </c>
      <c r="V78" s="113" t="s">
        <v>126</v>
      </c>
      <c r="W78" s="113">
        <v>0</v>
      </c>
      <c r="X78" s="96">
        <v>0</v>
      </c>
      <c r="Y78" s="96">
        <v>0</v>
      </c>
      <c r="Z78" s="113" t="s">
        <v>126</v>
      </c>
      <c r="AA78" s="96">
        <v>0</v>
      </c>
      <c r="AB78" s="96">
        <v>0</v>
      </c>
      <c r="AC78" s="113" t="s">
        <v>126</v>
      </c>
      <c r="AD78" s="113">
        <v>0</v>
      </c>
      <c r="AE78" s="113"/>
      <c r="AF78" s="113"/>
      <c r="AG78" s="96"/>
      <c r="AH78" s="96"/>
      <c r="AI78" s="113"/>
      <c r="AJ78" s="96"/>
      <c r="AK78" s="96"/>
      <c r="AL78" s="113"/>
      <c r="AM78" s="113"/>
    </row>
    <row r="79" spans="1:39" ht="15">
      <c r="A79" s="140"/>
      <c r="B79" s="142" t="s">
        <v>83</v>
      </c>
      <c r="C79" s="96">
        <v>1.7800544360000001</v>
      </c>
      <c r="D79" s="96">
        <v>3.9025876870000031</v>
      </c>
      <c r="E79" s="113">
        <v>119.23979447334175</v>
      </c>
      <c r="F79" s="96">
        <v>90.530272431</v>
      </c>
      <c r="G79" s="96">
        <v>93.044892408999999</v>
      </c>
      <c r="H79" s="113">
        <v>2.7776564794020464</v>
      </c>
      <c r="I79" s="113">
        <v>0.83428723277271621</v>
      </c>
      <c r="J79" s="103">
        <v>3</v>
      </c>
      <c r="K79" s="103">
        <v>5</v>
      </c>
      <c r="L79" s="113">
        <v>66.666666666666671</v>
      </c>
      <c r="M79" s="103">
        <v>16</v>
      </c>
      <c r="N79" s="103">
        <v>26</v>
      </c>
      <c r="O79" s="113">
        <v>62.5</v>
      </c>
      <c r="P79" s="113">
        <v>9.4528267587711323E-2</v>
      </c>
      <c r="Q79" s="106">
        <v>5001</v>
      </c>
      <c r="R79" s="106">
        <v>13840</v>
      </c>
      <c r="S79" s="113">
        <v>176.74465106978604</v>
      </c>
      <c r="T79" s="106">
        <v>55574</v>
      </c>
      <c r="U79" s="106">
        <v>76751</v>
      </c>
      <c r="V79" s="113">
        <v>38.105948824990101</v>
      </c>
      <c r="W79" s="113">
        <v>9.7157910536414691E-2</v>
      </c>
      <c r="X79" s="96">
        <v>2586.3216161</v>
      </c>
      <c r="Y79" s="96">
        <v>2906.3913650000004</v>
      </c>
      <c r="Z79" s="113">
        <v>12.375481336410289</v>
      </c>
      <c r="AA79" s="96">
        <v>19741.130598400003</v>
      </c>
      <c r="AB79" s="96">
        <v>23874.2723147</v>
      </c>
      <c r="AC79" s="113">
        <v>20.936702159475008</v>
      </c>
      <c r="AD79" s="113">
        <v>0.62721628706859001</v>
      </c>
      <c r="AE79" s="113"/>
      <c r="AF79" s="113"/>
      <c r="AG79" s="96"/>
      <c r="AH79" s="96"/>
      <c r="AI79" s="113"/>
      <c r="AJ79" s="96"/>
      <c r="AK79" s="96"/>
      <c r="AL79" s="113"/>
      <c r="AM79" s="113"/>
    </row>
    <row r="80" spans="1:39">
      <c r="A80" s="140"/>
      <c r="B80" s="144"/>
      <c r="C80" s="104"/>
      <c r="D80" s="104"/>
      <c r="E80" s="113"/>
      <c r="F80" s="104"/>
      <c r="G80" s="104"/>
      <c r="H80" s="113"/>
      <c r="I80" s="110"/>
      <c r="J80" s="103"/>
      <c r="K80" s="103"/>
      <c r="L80" s="113"/>
      <c r="M80" s="103"/>
      <c r="N80" s="103"/>
      <c r="O80" s="113"/>
      <c r="P80" s="113"/>
      <c r="Q80" s="103"/>
      <c r="R80" s="103"/>
      <c r="S80" s="113"/>
      <c r="T80" s="103"/>
      <c r="U80" s="103"/>
      <c r="V80" s="113"/>
      <c r="W80" s="113"/>
      <c r="X80" s="96"/>
      <c r="Y80" s="96"/>
      <c r="Z80" s="113"/>
      <c r="AA80" s="96"/>
      <c r="AB80" s="96"/>
      <c r="AC80" s="113"/>
      <c r="AD80" s="113"/>
      <c r="AE80" s="113"/>
      <c r="AF80" s="113"/>
      <c r="AG80" s="96"/>
      <c r="AH80" s="96"/>
      <c r="AI80" s="113"/>
      <c r="AJ80" s="96"/>
      <c r="AK80" s="96"/>
      <c r="AL80" s="113"/>
      <c r="AM80" s="113"/>
    </row>
    <row r="81" spans="1:39">
      <c r="A81" s="143">
        <v>12</v>
      </c>
      <c r="B81" s="148" t="s">
        <v>93</v>
      </c>
      <c r="C81" s="101">
        <v>61.469206297251148</v>
      </c>
      <c r="D81" s="101">
        <v>96.396048593003968</v>
      </c>
      <c r="E81" s="110">
        <v>56.820063898099683</v>
      </c>
      <c r="F81" s="101">
        <v>280.01082010198581</v>
      </c>
      <c r="G81" s="101">
        <v>878.43874885900414</v>
      </c>
      <c r="H81" s="110">
        <v>213.71600159560202</v>
      </c>
      <c r="I81" s="110">
        <v>0.28715398185506613</v>
      </c>
      <c r="J81" s="102">
        <v>87</v>
      </c>
      <c r="K81" s="102">
        <v>1072</v>
      </c>
      <c r="L81" s="110">
        <v>1132.183908045977</v>
      </c>
      <c r="M81" s="101">
        <v>438</v>
      </c>
      <c r="N81" s="101">
        <v>3993</v>
      </c>
      <c r="O81" s="110">
        <v>811.64383561643842</v>
      </c>
      <c r="P81" s="110">
        <v>1.9263880474978883E-2</v>
      </c>
      <c r="Q81" s="102">
        <v>265653</v>
      </c>
      <c r="R81" s="102">
        <v>514853</v>
      </c>
      <c r="S81" s="110">
        <v>93.806582270857092</v>
      </c>
      <c r="T81" s="102">
        <v>1412938</v>
      </c>
      <c r="U81" s="102">
        <v>5081192</v>
      </c>
      <c r="V81" s="110">
        <v>259.61889339801178</v>
      </c>
      <c r="W81" s="110">
        <v>2.3727401076493129</v>
      </c>
      <c r="X81" s="101">
        <v>20452.198172700002</v>
      </c>
      <c r="Y81" s="101">
        <v>28959.149588100001</v>
      </c>
      <c r="Z81" s="110">
        <v>41.594313450156406</v>
      </c>
      <c r="AA81" s="101">
        <v>155065.96810500001</v>
      </c>
      <c r="AB81" s="101">
        <v>452875.69703390001</v>
      </c>
      <c r="AC81" s="110">
        <v>192.05357085652977</v>
      </c>
      <c r="AD81" s="110">
        <v>5.3978672668241705</v>
      </c>
      <c r="AE81" s="110"/>
      <c r="AF81" s="110"/>
      <c r="AG81" s="96"/>
      <c r="AH81" s="101"/>
      <c r="AI81" s="110"/>
      <c r="AJ81" s="96"/>
      <c r="AK81" s="101"/>
      <c r="AL81" s="110"/>
      <c r="AM81" s="110"/>
    </row>
    <row r="82" spans="1:39">
      <c r="A82" s="140"/>
      <c r="B82" s="141" t="s">
        <v>79</v>
      </c>
      <c r="C82" s="96">
        <v>0</v>
      </c>
      <c r="D82" s="96">
        <v>5.0000000000000001E-3</v>
      </c>
      <c r="E82" s="113" t="s">
        <v>126</v>
      </c>
      <c r="F82" s="96">
        <v>0</v>
      </c>
      <c r="G82" s="96">
        <v>7.4999999999999997E-3</v>
      </c>
      <c r="H82" s="113" t="s">
        <v>126</v>
      </c>
      <c r="I82" s="113">
        <v>1.8923988637636134E-5</v>
      </c>
      <c r="J82" s="103">
        <v>0</v>
      </c>
      <c r="K82" s="103">
        <v>1</v>
      </c>
      <c r="L82" s="113" t="s">
        <v>126</v>
      </c>
      <c r="M82" s="103">
        <v>0</v>
      </c>
      <c r="N82" s="103">
        <v>2</v>
      </c>
      <c r="O82" s="113" t="s">
        <v>126</v>
      </c>
      <c r="P82" s="113">
        <v>1.9108456734154552E-4</v>
      </c>
      <c r="Q82" s="103"/>
      <c r="R82" s="103"/>
      <c r="S82" s="113" t="s">
        <v>126</v>
      </c>
      <c r="T82" s="103"/>
      <c r="U82" s="103"/>
      <c r="V82" s="113" t="s">
        <v>126</v>
      </c>
      <c r="W82" s="113" t="s">
        <v>126</v>
      </c>
      <c r="X82" s="96">
        <v>0</v>
      </c>
      <c r="Y82" s="96">
        <v>6.7999999999999996E-3</v>
      </c>
      <c r="Z82" s="113" t="s">
        <v>126</v>
      </c>
      <c r="AA82" s="96">
        <v>0</v>
      </c>
      <c r="AB82" s="96">
        <v>0.01</v>
      </c>
      <c r="AC82" s="113" t="s">
        <v>126</v>
      </c>
      <c r="AD82" s="113">
        <v>3.1776873187859138E-5</v>
      </c>
      <c r="AE82" s="113"/>
      <c r="AF82" s="113"/>
      <c r="AG82" s="96"/>
      <c r="AH82" s="96"/>
      <c r="AI82" s="113"/>
      <c r="AJ82" s="96"/>
      <c r="AK82" s="96"/>
      <c r="AL82" s="113"/>
      <c r="AM82" s="113"/>
    </row>
    <row r="83" spans="1:39">
      <c r="A83" s="140"/>
      <c r="B83" s="141" t="s">
        <v>80</v>
      </c>
      <c r="C83" s="96">
        <v>0</v>
      </c>
      <c r="D83" s="96">
        <v>6.2686193660000118</v>
      </c>
      <c r="E83" s="113" t="s">
        <v>126</v>
      </c>
      <c r="F83" s="96">
        <v>0</v>
      </c>
      <c r="G83" s="96">
        <v>24.45254424200003</v>
      </c>
      <c r="H83" s="113" t="s">
        <v>126</v>
      </c>
      <c r="I83" s="113">
        <v>2.7471039489060385E-2</v>
      </c>
      <c r="J83" s="103">
        <v>0</v>
      </c>
      <c r="K83" s="103">
        <v>1032</v>
      </c>
      <c r="L83" s="113" t="s">
        <v>126</v>
      </c>
      <c r="M83" s="103">
        <v>0</v>
      </c>
      <c r="N83" s="103">
        <v>3335</v>
      </c>
      <c r="O83" s="113" t="s">
        <v>126</v>
      </c>
      <c r="P83" s="113">
        <v>1.697454988176348E-2</v>
      </c>
      <c r="Q83" s="103"/>
      <c r="R83" s="103"/>
      <c r="S83" s="113" t="s">
        <v>126</v>
      </c>
      <c r="T83" s="103"/>
      <c r="U83" s="103"/>
      <c r="V83" s="113" t="s">
        <v>126</v>
      </c>
      <c r="W83" s="113" t="s">
        <v>126</v>
      </c>
      <c r="X83" s="96">
        <v>0</v>
      </c>
      <c r="Y83" s="96">
        <v>182.83112070000004</v>
      </c>
      <c r="Z83" s="113" t="s">
        <v>126</v>
      </c>
      <c r="AA83" s="96">
        <v>0</v>
      </c>
      <c r="AB83" s="96">
        <v>567.58969869999999</v>
      </c>
      <c r="AC83" s="113" t="s">
        <v>126</v>
      </c>
      <c r="AD83" s="113">
        <v>2.142387285477193E-2</v>
      </c>
      <c r="AE83" s="113"/>
      <c r="AF83" s="113"/>
      <c r="AG83" s="96"/>
      <c r="AH83" s="96"/>
      <c r="AI83" s="113"/>
      <c r="AJ83" s="96"/>
      <c r="AK83" s="96"/>
      <c r="AL83" s="113"/>
      <c r="AM83" s="113"/>
    </row>
    <row r="84" spans="1:39">
      <c r="A84" s="140"/>
      <c r="B84" s="141" t="s">
        <v>81</v>
      </c>
      <c r="C84" s="96">
        <v>42.476257265900706</v>
      </c>
      <c r="D84" s="96">
        <v>68.711589306001471</v>
      </c>
      <c r="E84" s="113">
        <v>61.764698042645328</v>
      </c>
      <c r="F84" s="96">
        <v>153.4368297439247</v>
      </c>
      <c r="G84" s="96">
        <v>573.80512700100178</v>
      </c>
      <c r="H84" s="113">
        <v>273.96831514222646</v>
      </c>
      <c r="I84" s="113">
        <v>0.34995498753169102</v>
      </c>
      <c r="J84" s="103">
        <v>5</v>
      </c>
      <c r="K84" s="103">
        <v>4</v>
      </c>
      <c r="L84" s="113">
        <v>-19.999999999999996</v>
      </c>
      <c r="M84" s="103">
        <v>44</v>
      </c>
      <c r="N84" s="103">
        <v>84</v>
      </c>
      <c r="O84" s="113">
        <v>90.909090909090921</v>
      </c>
      <c r="P84" s="113">
        <v>3.1157270029673589</v>
      </c>
      <c r="Q84" s="103">
        <v>221286</v>
      </c>
      <c r="R84" s="103">
        <v>403576</v>
      </c>
      <c r="S84" s="113">
        <v>82.377556646150225</v>
      </c>
      <c r="T84" s="103">
        <v>785697</v>
      </c>
      <c r="U84" s="103">
        <v>3877093</v>
      </c>
      <c r="V84" s="113">
        <v>393.45905609923415</v>
      </c>
      <c r="W84" s="113">
        <v>3.0516485303366849</v>
      </c>
      <c r="X84" s="96">
        <v>4601.599484100002</v>
      </c>
      <c r="Y84" s="96">
        <v>7362.4530769000003</v>
      </c>
      <c r="Z84" s="113">
        <v>59.997694330843679</v>
      </c>
      <c r="AA84" s="96">
        <v>25326.630940800002</v>
      </c>
      <c r="AB84" s="96">
        <v>85517.562623699996</v>
      </c>
      <c r="AC84" s="113">
        <v>237.65865986515902</v>
      </c>
      <c r="AD84" s="113">
        <v>4.7214736000637618</v>
      </c>
      <c r="AE84" s="113"/>
      <c r="AF84" s="113"/>
      <c r="AG84" s="96"/>
      <c r="AH84" s="96"/>
      <c r="AI84" s="113"/>
      <c r="AJ84" s="96"/>
      <c r="AK84" s="96"/>
      <c r="AL84" s="113"/>
      <c r="AM84" s="113"/>
    </row>
    <row r="85" spans="1:39">
      <c r="A85" s="140"/>
      <c r="B85" s="141" t="s">
        <v>82</v>
      </c>
      <c r="C85" s="96">
        <v>1.3899047413336163</v>
      </c>
      <c r="D85" s="96">
        <v>0.29872899100000039</v>
      </c>
      <c r="E85" s="113">
        <v>-78.507232753708763</v>
      </c>
      <c r="F85" s="96">
        <v>4.8479350750011427</v>
      </c>
      <c r="G85" s="96">
        <v>6.015044425000001</v>
      </c>
      <c r="H85" s="113">
        <v>24.07436015422677</v>
      </c>
      <c r="I85" s="113">
        <v>0.27980315528689437</v>
      </c>
      <c r="J85" s="103">
        <v>0</v>
      </c>
      <c r="K85" s="103">
        <v>9</v>
      </c>
      <c r="L85" s="113" t="s">
        <v>126</v>
      </c>
      <c r="M85" s="103">
        <v>10</v>
      </c>
      <c r="N85" s="103">
        <v>63</v>
      </c>
      <c r="O85" s="113">
        <v>530</v>
      </c>
      <c r="P85" s="113">
        <v>1.5777610818933134</v>
      </c>
      <c r="Q85" s="106">
        <v>-617</v>
      </c>
      <c r="R85" s="106">
        <v>143</v>
      </c>
      <c r="S85" s="113">
        <v>-123.17666126418152</v>
      </c>
      <c r="T85" s="106">
        <v>24424</v>
      </c>
      <c r="U85" s="106">
        <v>11931</v>
      </c>
      <c r="V85" s="113">
        <v>-51.150507697346868</v>
      </c>
      <c r="W85" s="113">
        <v>0.14723409443565941</v>
      </c>
      <c r="X85" s="96">
        <v>-65.306806799999904</v>
      </c>
      <c r="Y85" s="96">
        <v>143.38</v>
      </c>
      <c r="Z85" s="113">
        <v>-319.54832432566616</v>
      </c>
      <c r="AA85" s="96">
        <v>5727.2716162000006</v>
      </c>
      <c r="AB85" s="96">
        <v>3458.5051465000001</v>
      </c>
      <c r="AC85" s="113">
        <v>-39.613390489157716</v>
      </c>
      <c r="AD85" s="113">
        <v>3.7812283347669049</v>
      </c>
      <c r="AE85" s="113"/>
      <c r="AF85" s="113"/>
      <c r="AG85" s="96"/>
      <c r="AH85" s="96"/>
      <c r="AI85" s="113"/>
      <c r="AJ85" s="96"/>
      <c r="AK85" s="96"/>
      <c r="AL85" s="113"/>
      <c r="AM85" s="113"/>
    </row>
    <row r="86" spans="1:39" ht="15">
      <c r="A86" s="140"/>
      <c r="B86" s="142" t="s">
        <v>83</v>
      </c>
      <c r="C86" s="96">
        <v>17.603044290016825</v>
      </c>
      <c r="D86" s="96">
        <v>21.112110930002491</v>
      </c>
      <c r="E86" s="113">
        <v>19.934430557422122</v>
      </c>
      <c r="F86" s="96">
        <v>121.72605528305998</v>
      </c>
      <c r="G86" s="96">
        <v>274.15853319100233</v>
      </c>
      <c r="H86" s="113">
        <v>125.22584220237655</v>
      </c>
      <c r="I86" s="113">
        <v>2.4582430918564215</v>
      </c>
      <c r="J86" s="103">
        <v>82</v>
      </c>
      <c r="K86" s="103">
        <v>26</v>
      </c>
      <c r="L86" s="113">
        <v>-68.292682926829258</v>
      </c>
      <c r="M86" s="103">
        <v>384</v>
      </c>
      <c r="N86" s="103">
        <v>509</v>
      </c>
      <c r="O86" s="113">
        <v>32.552083333333329</v>
      </c>
      <c r="P86" s="113">
        <v>1.8505726231594255</v>
      </c>
      <c r="Q86" s="106">
        <v>44984</v>
      </c>
      <c r="R86" s="106">
        <v>111134</v>
      </c>
      <c r="S86" s="113">
        <v>147.05228525698027</v>
      </c>
      <c r="T86" s="106">
        <v>602817</v>
      </c>
      <c r="U86" s="106">
        <v>1192168</v>
      </c>
      <c r="V86" s="113">
        <v>97.766154570956033</v>
      </c>
      <c r="W86" s="113">
        <v>1.5091471366936773</v>
      </c>
      <c r="X86" s="96">
        <v>15915.9054954</v>
      </c>
      <c r="Y86" s="96">
        <v>21270.478590500003</v>
      </c>
      <c r="Z86" s="113">
        <v>33.642905812977951</v>
      </c>
      <c r="AA86" s="96">
        <v>124012.065548</v>
      </c>
      <c r="AB86" s="96">
        <v>363332.02956500003</v>
      </c>
      <c r="AC86" s="113">
        <v>192.98119336974437</v>
      </c>
      <c r="AD86" s="113">
        <v>9.5453282744261152</v>
      </c>
      <c r="AE86" s="113"/>
      <c r="AF86" s="113"/>
      <c r="AG86" s="96"/>
      <c r="AH86" s="96"/>
      <c r="AI86" s="113"/>
      <c r="AJ86" s="96"/>
      <c r="AK86" s="96"/>
      <c r="AL86" s="113"/>
      <c r="AM86" s="113"/>
    </row>
    <row r="87" spans="1:39" ht="15">
      <c r="A87" s="140"/>
      <c r="B87" s="142"/>
      <c r="C87" s="96"/>
      <c r="D87" s="96"/>
      <c r="E87" s="113"/>
      <c r="F87" s="96"/>
      <c r="G87" s="96"/>
      <c r="H87" s="113"/>
      <c r="I87" s="113"/>
      <c r="J87" s="103"/>
      <c r="K87" s="103"/>
      <c r="L87" s="113"/>
      <c r="M87" s="103"/>
      <c r="N87" s="103"/>
      <c r="O87" s="113"/>
      <c r="P87" s="113"/>
      <c r="Q87" s="106"/>
      <c r="R87" s="106"/>
      <c r="S87" s="113"/>
      <c r="T87" s="106"/>
      <c r="U87" s="106"/>
      <c r="V87" s="113"/>
      <c r="W87" s="113"/>
      <c r="X87" s="96"/>
      <c r="Y87" s="96"/>
      <c r="Z87" s="113"/>
      <c r="AA87" s="96"/>
      <c r="AB87" s="96"/>
      <c r="AC87" s="113"/>
      <c r="AD87" s="113"/>
      <c r="AE87" s="113"/>
      <c r="AF87" s="113"/>
      <c r="AG87" s="96"/>
      <c r="AH87" s="96"/>
      <c r="AI87" s="113"/>
      <c r="AJ87" s="96"/>
      <c r="AK87" s="96"/>
      <c r="AL87" s="113"/>
      <c r="AM87" s="113"/>
    </row>
    <row r="88" spans="1:39" s="138" customFormat="1" ht="15">
      <c r="A88" s="13">
        <v>13</v>
      </c>
      <c r="B88" s="139" t="s">
        <v>94</v>
      </c>
      <c r="C88" s="101">
        <v>2400.1780272690094</v>
      </c>
      <c r="D88" s="101">
        <v>3011.4360606909927</v>
      </c>
      <c r="E88" s="110">
        <v>25.467195619547024</v>
      </c>
      <c r="F88" s="101">
        <v>22744.504229341015</v>
      </c>
      <c r="G88" s="101">
        <v>25672.660794083997</v>
      </c>
      <c r="H88" s="110">
        <v>12.874127900161403</v>
      </c>
      <c r="I88" s="110">
        <v>8.3921693816570517</v>
      </c>
      <c r="J88" s="102">
        <v>100275</v>
      </c>
      <c r="K88" s="102">
        <v>110173</v>
      </c>
      <c r="L88" s="110">
        <v>9.8708551483420504</v>
      </c>
      <c r="M88" s="101">
        <v>865265</v>
      </c>
      <c r="N88" s="101">
        <v>987138</v>
      </c>
      <c r="O88" s="110">
        <v>14.085049089007406</v>
      </c>
      <c r="P88" s="110">
        <v>4.7623612432531184</v>
      </c>
      <c r="Q88" s="102">
        <v>4738884</v>
      </c>
      <c r="R88" s="102">
        <v>3858170</v>
      </c>
      <c r="S88" s="110">
        <v>-18.584839806165331</v>
      </c>
      <c r="T88" s="102">
        <v>53524041</v>
      </c>
      <c r="U88" s="102">
        <v>39540894</v>
      </c>
      <c r="V88" s="110">
        <v>-26.1249837246033</v>
      </c>
      <c r="W88" s="110">
        <v>18.464223569215662</v>
      </c>
      <c r="X88" s="101">
        <v>99704.527031214006</v>
      </c>
      <c r="Y88" s="101">
        <v>118499.02175109999</v>
      </c>
      <c r="Z88" s="110">
        <v>18.850191941637796</v>
      </c>
      <c r="AA88" s="101">
        <v>1089944.0052814649</v>
      </c>
      <c r="AB88" s="101">
        <v>1107950.0121957548</v>
      </c>
      <c r="AC88" s="110">
        <v>1.6520121058549275</v>
      </c>
      <c r="AD88" s="110">
        <v>13.205758540982671</v>
      </c>
      <c r="AE88" s="110"/>
      <c r="AF88" s="110"/>
      <c r="AG88" s="101"/>
      <c r="AH88" s="101"/>
      <c r="AI88" s="110"/>
      <c r="AJ88" s="101"/>
      <c r="AK88" s="101"/>
      <c r="AL88" s="110"/>
      <c r="AM88" s="110"/>
    </row>
    <row r="89" spans="1:39">
      <c r="A89" s="140"/>
      <c r="B89" s="141" t="s">
        <v>79</v>
      </c>
      <c r="C89" s="96">
        <v>312.04101484800145</v>
      </c>
      <c r="D89" s="96">
        <v>379.80980668800191</v>
      </c>
      <c r="E89" s="113">
        <v>21.717911625499408</v>
      </c>
      <c r="F89" s="96">
        <v>2997.7430881040013</v>
      </c>
      <c r="G89" s="96">
        <v>3118.3916924950004</v>
      </c>
      <c r="H89" s="113">
        <v>4.0246479049445893</v>
      </c>
      <c r="I89" s="113">
        <v>7.8683211941965743</v>
      </c>
      <c r="J89" s="103">
        <v>3523</v>
      </c>
      <c r="K89" s="103">
        <v>3788</v>
      </c>
      <c r="L89" s="113">
        <v>7.5219982969060517</v>
      </c>
      <c r="M89" s="103">
        <v>35268</v>
      </c>
      <c r="N89" s="103">
        <v>35426</v>
      </c>
      <c r="O89" s="113">
        <v>0.44799818532381686</v>
      </c>
      <c r="P89" s="113">
        <v>3.3846809413207959</v>
      </c>
      <c r="Q89" s="103"/>
      <c r="R89" s="103"/>
      <c r="S89" s="113" t="s">
        <v>126</v>
      </c>
      <c r="T89" s="103"/>
      <c r="U89" s="103"/>
      <c r="V89" s="113" t="s">
        <v>126</v>
      </c>
      <c r="W89" s="113" t="s">
        <v>126</v>
      </c>
      <c r="X89" s="96">
        <v>134.9573226</v>
      </c>
      <c r="Y89" s="96">
        <v>158.33012110000001</v>
      </c>
      <c r="Z89" s="113">
        <v>17.318659002501601</v>
      </c>
      <c r="AA89" s="96">
        <v>1354.3899914000003</v>
      </c>
      <c r="AB89" s="96">
        <v>1292.3581327999998</v>
      </c>
      <c r="AC89" s="113">
        <v>-4.5800588452281517</v>
      </c>
      <c r="AD89" s="113">
        <v>4.1067100499284015</v>
      </c>
      <c r="AE89" s="113"/>
      <c r="AF89" s="113"/>
      <c r="AG89" s="96"/>
      <c r="AH89" s="96"/>
      <c r="AI89" s="113"/>
      <c r="AJ89" s="96"/>
      <c r="AK89" s="96"/>
      <c r="AL89" s="113"/>
      <c r="AM89" s="113"/>
    </row>
    <row r="90" spans="1:39">
      <c r="A90" s="140"/>
      <c r="B90" s="141" t="s">
        <v>80</v>
      </c>
      <c r="C90" s="96">
        <v>1050.6165200210071</v>
      </c>
      <c r="D90" s="96">
        <v>1317.1991294029908</v>
      </c>
      <c r="E90" s="113">
        <v>25.373921340647996</v>
      </c>
      <c r="F90" s="96">
        <v>8025.8748490859962</v>
      </c>
      <c r="G90" s="96">
        <v>9882.5712209489957</v>
      </c>
      <c r="H90" s="113">
        <v>23.133881436918301</v>
      </c>
      <c r="I90" s="113">
        <v>11.10250539074114</v>
      </c>
      <c r="J90" s="103">
        <v>96721</v>
      </c>
      <c r="K90" s="103">
        <v>106323</v>
      </c>
      <c r="L90" s="113">
        <v>9.9275234954146363</v>
      </c>
      <c r="M90" s="103">
        <v>829527</v>
      </c>
      <c r="N90" s="103">
        <v>951133</v>
      </c>
      <c r="O90" s="113">
        <v>14.65967955232319</v>
      </c>
      <c r="P90" s="113">
        <v>4.841095817898454</v>
      </c>
      <c r="Q90" s="103"/>
      <c r="R90" s="103"/>
      <c r="S90" s="113" t="s">
        <v>126</v>
      </c>
      <c r="T90" s="103"/>
      <c r="U90" s="103"/>
      <c r="V90" s="113" t="s">
        <v>126</v>
      </c>
      <c r="W90" s="113" t="s">
        <v>126</v>
      </c>
      <c r="X90" s="96">
        <v>36150.631221900003</v>
      </c>
      <c r="Y90" s="96">
        <v>40198.090474000004</v>
      </c>
      <c r="Z90" s="113">
        <v>11.196095656686778</v>
      </c>
      <c r="AA90" s="96">
        <v>276939.94768869999</v>
      </c>
      <c r="AB90" s="96">
        <v>326554.34365037497</v>
      </c>
      <c r="AC90" s="113">
        <v>17.915218218155026</v>
      </c>
      <c r="AD90" s="113">
        <v>12.325908582489808</v>
      </c>
      <c r="AE90" s="113"/>
      <c r="AF90" s="113"/>
      <c r="AG90" s="96"/>
      <c r="AH90" s="96"/>
      <c r="AI90" s="113"/>
      <c r="AJ90" s="96"/>
      <c r="AK90" s="96"/>
      <c r="AL90" s="113"/>
      <c r="AM90" s="113"/>
    </row>
    <row r="91" spans="1:39">
      <c r="A91" s="140"/>
      <c r="B91" s="141" t="s">
        <v>81</v>
      </c>
      <c r="C91" s="96">
        <v>1029.9614659860006</v>
      </c>
      <c r="D91" s="96">
        <v>1288.9828963800001</v>
      </c>
      <c r="E91" s="113">
        <v>25.148652541678686</v>
      </c>
      <c r="F91" s="96">
        <v>11470.367513160016</v>
      </c>
      <c r="G91" s="96">
        <v>12498.13621792</v>
      </c>
      <c r="H91" s="113">
        <v>8.9602072782831055</v>
      </c>
      <c r="I91" s="113">
        <v>7.6224224889226795</v>
      </c>
      <c r="J91" s="103">
        <v>16</v>
      </c>
      <c r="K91" s="103">
        <v>28</v>
      </c>
      <c r="L91" s="113">
        <v>75</v>
      </c>
      <c r="M91" s="103">
        <v>201</v>
      </c>
      <c r="N91" s="103">
        <v>302</v>
      </c>
      <c r="O91" s="113">
        <v>50.248756218905477</v>
      </c>
      <c r="P91" s="113">
        <v>11.201780415430267</v>
      </c>
      <c r="Q91" s="103">
        <v>4569643</v>
      </c>
      <c r="R91" s="103">
        <v>3613140</v>
      </c>
      <c r="S91" s="113">
        <v>-20.93167890795845</v>
      </c>
      <c r="T91" s="103">
        <v>50430532</v>
      </c>
      <c r="U91" s="103">
        <v>37058070</v>
      </c>
      <c r="V91" s="113">
        <v>-26.516599111030594</v>
      </c>
      <c r="W91" s="113">
        <v>29.168298220500255</v>
      </c>
      <c r="X91" s="96">
        <v>56043.112448814005</v>
      </c>
      <c r="Y91" s="96">
        <v>59194.930844099996</v>
      </c>
      <c r="Z91" s="113">
        <v>5.6239174763262012</v>
      </c>
      <c r="AA91" s="96">
        <v>546927.31296016497</v>
      </c>
      <c r="AB91" s="96">
        <v>555779.22446457995</v>
      </c>
      <c r="AC91" s="113">
        <v>1.6184804259464114</v>
      </c>
      <c r="AD91" s="113">
        <v>30.684889223517164</v>
      </c>
      <c r="AE91" s="113"/>
      <c r="AF91" s="113"/>
      <c r="AG91" s="96"/>
      <c r="AH91" s="96"/>
      <c r="AI91" s="113"/>
      <c r="AJ91" s="96"/>
      <c r="AK91" s="96"/>
      <c r="AL91" s="113"/>
      <c r="AM91" s="113"/>
    </row>
    <row r="92" spans="1:39">
      <c r="A92" s="140"/>
      <c r="B92" s="141" t="s">
        <v>82</v>
      </c>
      <c r="C92" s="96">
        <v>0</v>
      </c>
      <c r="D92" s="96">
        <v>0</v>
      </c>
      <c r="E92" s="113" t="s">
        <v>126</v>
      </c>
      <c r="F92" s="96">
        <v>0</v>
      </c>
      <c r="G92" s="96">
        <v>0</v>
      </c>
      <c r="H92" s="113" t="s">
        <v>126</v>
      </c>
      <c r="I92" s="113">
        <v>0</v>
      </c>
      <c r="J92" s="103">
        <v>0</v>
      </c>
      <c r="K92" s="103">
        <v>0</v>
      </c>
      <c r="L92" s="113" t="s">
        <v>126</v>
      </c>
      <c r="M92" s="103">
        <v>0</v>
      </c>
      <c r="N92" s="103">
        <v>0</v>
      </c>
      <c r="O92" s="113" t="s">
        <v>126</v>
      </c>
      <c r="P92" s="113">
        <v>0</v>
      </c>
      <c r="Q92" s="106">
        <v>0</v>
      </c>
      <c r="R92" s="106">
        <v>0</v>
      </c>
      <c r="S92" s="113" t="s">
        <v>126</v>
      </c>
      <c r="T92" s="106">
        <v>0</v>
      </c>
      <c r="U92" s="106">
        <v>0</v>
      </c>
      <c r="V92" s="113" t="s">
        <v>126</v>
      </c>
      <c r="W92" s="113">
        <v>0</v>
      </c>
      <c r="X92" s="96">
        <v>0</v>
      </c>
      <c r="Y92" s="96">
        <v>0</v>
      </c>
      <c r="Z92" s="113" t="s">
        <v>126</v>
      </c>
      <c r="AA92" s="96">
        <v>0</v>
      </c>
      <c r="AB92" s="96">
        <v>0</v>
      </c>
      <c r="AC92" s="113" t="s">
        <v>126</v>
      </c>
      <c r="AD92" s="113">
        <v>0</v>
      </c>
      <c r="AE92" s="113"/>
      <c r="AF92" s="113"/>
      <c r="AG92" s="96"/>
      <c r="AH92" s="96"/>
      <c r="AI92" s="113"/>
      <c r="AJ92" s="96"/>
      <c r="AK92" s="96"/>
      <c r="AL92" s="113"/>
      <c r="AM92" s="113"/>
    </row>
    <row r="93" spans="1:39" ht="15">
      <c r="A93" s="140"/>
      <c r="B93" s="142" t="s">
        <v>83</v>
      </c>
      <c r="C93" s="96">
        <v>7.5590264139999999</v>
      </c>
      <c r="D93" s="96">
        <v>25.444228219999999</v>
      </c>
      <c r="E93" s="113">
        <v>236.60721403056604</v>
      </c>
      <c r="F93" s="96">
        <v>250.51877899099972</v>
      </c>
      <c r="G93" s="96">
        <v>173.56166271999999</v>
      </c>
      <c r="H93" s="113">
        <v>-30.71910081190542</v>
      </c>
      <c r="I93" s="113">
        <v>1.5562410311529806</v>
      </c>
      <c r="J93" s="103">
        <v>15</v>
      </c>
      <c r="K93" s="103">
        <v>34</v>
      </c>
      <c r="L93" s="113">
        <v>126.66666666666666</v>
      </c>
      <c r="M93" s="103">
        <v>269</v>
      </c>
      <c r="N93" s="103">
        <v>277</v>
      </c>
      <c r="O93" s="113">
        <v>2.9739776951672958</v>
      </c>
      <c r="P93" s="113">
        <v>1.0070896200690782</v>
      </c>
      <c r="Q93" s="106">
        <v>169241</v>
      </c>
      <c r="R93" s="106">
        <v>245030</v>
      </c>
      <c r="S93" s="113">
        <v>44.781701833480071</v>
      </c>
      <c r="T93" s="106">
        <v>3093509</v>
      </c>
      <c r="U93" s="106">
        <v>2482824</v>
      </c>
      <c r="V93" s="113">
        <v>-19.740850923659835</v>
      </c>
      <c r="W93" s="113">
        <v>3.1429687179276264</v>
      </c>
      <c r="X93" s="96">
        <v>7375.8260378999994</v>
      </c>
      <c r="Y93" s="96">
        <v>18947.670311900001</v>
      </c>
      <c r="Z93" s="113">
        <v>156.88879068648248</v>
      </c>
      <c r="AA93" s="96">
        <v>264722.35464119999</v>
      </c>
      <c r="AB93" s="96">
        <v>224324.08594799999</v>
      </c>
      <c r="AC93" s="113">
        <v>-15.260618525381087</v>
      </c>
      <c r="AD93" s="113">
        <v>5.893361625172024</v>
      </c>
      <c r="AE93" s="113"/>
      <c r="AF93" s="113"/>
      <c r="AG93" s="96"/>
      <c r="AH93" s="96"/>
      <c r="AI93" s="113"/>
      <c r="AJ93" s="96"/>
      <c r="AK93" s="96"/>
      <c r="AL93" s="113"/>
      <c r="AM93" s="113"/>
    </row>
    <row r="94" spans="1:39">
      <c r="A94" s="140"/>
      <c r="B94" s="144"/>
      <c r="C94" s="104"/>
      <c r="D94" s="104"/>
      <c r="E94" s="113"/>
      <c r="F94" s="104"/>
      <c r="G94" s="104"/>
      <c r="H94" s="113"/>
      <c r="I94" s="110"/>
      <c r="J94" s="103"/>
      <c r="K94" s="103"/>
      <c r="L94" s="113"/>
      <c r="M94" s="103"/>
      <c r="N94" s="103"/>
      <c r="O94" s="113"/>
      <c r="P94" s="113"/>
      <c r="Q94" s="103"/>
      <c r="R94" s="103"/>
      <c r="S94" s="113"/>
      <c r="T94" s="103"/>
      <c r="U94" s="103"/>
      <c r="V94" s="113"/>
      <c r="W94" s="113"/>
      <c r="X94" s="96"/>
      <c r="Y94" s="96"/>
      <c r="Z94" s="113"/>
      <c r="AA94" s="96"/>
      <c r="AB94" s="96"/>
      <c r="AC94" s="113"/>
      <c r="AD94" s="113"/>
      <c r="AE94" s="113"/>
      <c r="AF94" s="113"/>
      <c r="AG94" s="96"/>
      <c r="AH94" s="96"/>
      <c r="AI94" s="113"/>
      <c r="AJ94" s="96"/>
      <c r="AK94" s="96"/>
      <c r="AL94" s="113"/>
      <c r="AM94" s="113"/>
    </row>
    <row r="95" spans="1:39" s="138" customFormat="1" ht="15">
      <c r="A95" s="13">
        <v>14</v>
      </c>
      <c r="B95" s="139" t="s">
        <v>95</v>
      </c>
      <c r="C95" s="101">
        <v>1564.6082351999999</v>
      </c>
      <c r="D95" s="101">
        <v>1777.5323576200001</v>
      </c>
      <c r="E95" s="110">
        <v>13.608781906531565</v>
      </c>
      <c r="F95" s="101">
        <v>13091.87853319</v>
      </c>
      <c r="G95" s="101">
        <v>16916.718433950002</v>
      </c>
      <c r="H95" s="110">
        <v>29.215363487091818</v>
      </c>
      <c r="I95" s="110">
        <v>5.5299280280376593</v>
      </c>
      <c r="J95" s="101">
        <v>54046</v>
      </c>
      <c r="K95" s="101">
        <v>61788</v>
      </c>
      <c r="L95" s="110">
        <v>14.32483440032566</v>
      </c>
      <c r="M95" s="101">
        <v>454663</v>
      </c>
      <c r="N95" s="101">
        <v>520211</v>
      </c>
      <c r="O95" s="110">
        <v>14.416831807294628</v>
      </c>
      <c r="P95" s="110">
        <v>2.5097126285422591</v>
      </c>
      <c r="Q95" s="102">
        <v>4489420</v>
      </c>
      <c r="R95" s="102">
        <v>3577498</v>
      </c>
      <c r="S95" s="110">
        <v>-20.312690726196259</v>
      </c>
      <c r="T95" s="102">
        <v>41279480</v>
      </c>
      <c r="U95" s="102">
        <v>34783636</v>
      </c>
      <c r="V95" s="110">
        <v>-15.736254429561614</v>
      </c>
      <c r="W95" s="110">
        <v>16.242749383820669</v>
      </c>
      <c r="X95" s="101">
        <v>107618.5591292</v>
      </c>
      <c r="Y95" s="101">
        <v>140982.96782447002</v>
      </c>
      <c r="Z95" s="110">
        <v>31.002467385959733</v>
      </c>
      <c r="AA95" s="101">
        <v>830467.33950204996</v>
      </c>
      <c r="AB95" s="101">
        <v>1001622.6608100801</v>
      </c>
      <c r="AC95" s="110">
        <v>20.60951866098133</v>
      </c>
      <c r="AD95" s="110">
        <v>11.938433017948737</v>
      </c>
      <c r="AE95" s="110"/>
      <c r="AF95" s="110"/>
      <c r="AG95" s="101"/>
      <c r="AH95" s="101"/>
      <c r="AI95" s="110"/>
      <c r="AJ95" s="101"/>
      <c r="AK95" s="101"/>
      <c r="AL95" s="110"/>
      <c r="AM95" s="110"/>
    </row>
    <row r="96" spans="1:39">
      <c r="A96" s="140"/>
      <c r="B96" s="141" t="s">
        <v>79</v>
      </c>
      <c r="C96" s="96">
        <v>157.19128321999997</v>
      </c>
      <c r="D96" s="96">
        <v>169.60836350999998</v>
      </c>
      <c r="E96" s="113">
        <v>7.8993440575336749</v>
      </c>
      <c r="F96" s="96">
        <v>1440.3392058600002</v>
      </c>
      <c r="G96" s="96">
        <v>1470.1633454099999</v>
      </c>
      <c r="H96" s="113">
        <v>2.0706330445398269</v>
      </c>
      <c r="I96" s="113">
        <v>3.7095139258677294</v>
      </c>
      <c r="J96" s="103">
        <v>5735</v>
      </c>
      <c r="K96" s="103">
        <v>4530</v>
      </c>
      <c r="L96" s="113">
        <v>-21.011333914559714</v>
      </c>
      <c r="M96" s="103">
        <v>22675</v>
      </c>
      <c r="N96" s="103">
        <v>33674</v>
      </c>
      <c r="O96" s="113">
        <v>48.507166482910691</v>
      </c>
      <c r="P96" s="113">
        <v>3.2172908603296015</v>
      </c>
      <c r="Q96" s="103"/>
      <c r="R96" s="103"/>
      <c r="S96" s="113" t="s">
        <v>126</v>
      </c>
      <c r="T96" s="103"/>
      <c r="U96" s="103"/>
      <c r="V96" s="113" t="s">
        <v>126</v>
      </c>
      <c r="W96" s="113" t="s">
        <v>126</v>
      </c>
      <c r="X96" s="96">
        <v>228.58602923000001</v>
      </c>
      <c r="Y96" s="96">
        <v>217.18236574000002</v>
      </c>
      <c r="Z96" s="113">
        <v>-4.9887841039164211</v>
      </c>
      <c r="AA96" s="96">
        <v>1936.2853122700001</v>
      </c>
      <c r="AB96" s="96">
        <v>2083.91910164</v>
      </c>
      <c r="AC96" s="113">
        <v>7.6245886096673265</v>
      </c>
      <c r="AD96" s="113">
        <v>6.6220433026571612</v>
      </c>
      <c r="AE96" s="113"/>
      <c r="AF96" s="113"/>
      <c r="AG96" s="96"/>
      <c r="AH96" s="96"/>
      <c r="AI96" s="113"/>
      <c r="AJ96" s="96"/>
      <c r="AK96" s="96"/>
      <c r="AL96" s="113"/>
      <c r="AM96" s="113"/>
    </row>
    <row r="97" spans="1:39">
      <c r="A97" s="140"/>
      <c r="B97" s="141" t="s">
        <v>80</v>
      </c>
      <c r="C97" s="96">
        <v>647.05962062000003</v>
      </c>
      <c r="D97" s="96">
        <v>703.61313404999999</v>
      </c>
      <c r="E97" s="113">
        <v>8.7400776725661711</v>
      </c>
      <c r="F97" s="96">
        <v>4731.8714702000007</v>
      </c>
      <c r="G97" s="96">
        <v>6109.9616240699997</v>
      </c>
      <c r="H97" s="113">
        <v>29.123575366508248</v>
      </c>
      <c r="I97" s="113">
        <v>6.8641935739011632</v>
      </c>
      <c r="J97" s="103">
        <v>48167</v>
      </c>
      <c r="K97" s="103">
        <v>57017</v>
      </c>
      <c r="L97" s="113">
        <v>18.373575269375308</v>
      </c>
      <c r="M97" s="103">
        <v>430090</v>
      </c>
      <c r="N97" s="103">
        <v>484555</v>
      </c>
      <c r="O97" s="113">
        <v>12.663628542863115</v>
      </c>
      <c r="P97" s="113">
        <v>2.4662977565091162</v>
      </c>
      <c r="Q97" s="103"/>
      <c r="R97" s="103"/>
      <c r="S97" s="113" t="s">
        <v>126</v>
      </c>
      <c r="T97" s="103"/>
      <c r="U97" s="103"/>
      <c r="V97" s="113" t="s">
        <v>126</v>
      </c>
      <c r="W97" s="113" t="s">
        <v>126</v>
      </c>
      <c r="X97" s="96">
        <v>20585.542165770003</v>
      </c>
      <c r="Y97" s="96">
        <v>32470.478808300002</v>
      </c>
      <c r="Z97" s="113">
        <v>57.734387303592506</v>
      </c>
      <c r="AA97" s="96">
        <v>182826.47389957999</v>
      </c>
      <c r="AB97" s="96">
        <v>258814.23352388004</v>
      </c>
      <c r="AC97" s="113">
        <v>41.562776989309214</v>
      </c>
      <c r="AD97" s="113">
        <v>9.7690342948799156</v>
      </c>
      <c r="AE97" s="113"/>
      <c r="AF97" s="113"/>
      <c r="AG97" s="96"/>
      <c r="AH97" s="96"/>
      <c r="AI97" s="113"/>
      <c r="AJ97" s="96"/>
      <c r="AK97" s="96"/>
      <c r="AL97" s="113"/>
      <c r="AM97" s="113"/>
    </row>
    <row r="98" spans="1:39">
      <c r="A98" s="140"/>
      <c r="B98" s="141" t="s">
        <v>81</v>
      </c>
      <c r="C98" s="96">
        <v>510.66609314999999</v>
      </c>
      <c r="D98" s="96">
        <v>474.87788479000005</v>
      </c>
      <c r="E98" s="113">
        <v>-7.0081426670103415</v>
      </c>
      <c r="F98" s="96">
        <v>4390.4477496500003</v>
      </c>
      <c r="G98" s="96">
        <v>4672.6038700300005</v>
      </c>
      <c r="H98" s="113">
        <v>6.4265910100511636</v>
      </c>
      <c r="I98" s="113">
        <v>2.8497497706639092</v>
      </c>
      <c r="J98" s="103">
        <v>22</v>
      </c>
      <c r="K98" s="103">
        <v>25</v>
      </c>
      <c r="L98" s="113">
        <v>13.636363636363647</v>
      </c>
      <c r="M98" s="103">
        <v>241</v>
      </c>
      <c r="N98" s="103">
        <v>246</v>
      </c>
      <c r="O98" s="113">
        <v>2.0746887966804906</v>
      </c>
      <c r="P98" s="113">
        <v>9.1246290801186944</v>
      </c>
      <c r="Q98" s="103">
        <v>3903942</v>
      </c>
      <c r="R98" s="103">
        <v>1959240</v>
      </c>
      <c r="S98" s="113">
        <v>-49.813803586221319</v>
      </c>
      <c r="T98" s="103">
        <v>34872510</v>
      </c>
      <c r="U98" s="103">
        <v>28744054</v>
      </c>
      <c r="V98" s="113">
        <v>-17.573888429596842</v>
      </c>
      <c r="W98" s="113">
        <v>22.624360608584396</v>
      </c>
      <c r="X98" s="96">
        <v>27778.6369442</v>
      </c>
      <c r="Y98" s="96">
        <v>26177.293826500001</v>
      </c>
      <c r="Z98" s="113">
        <v>-5.7646569229320992</v>
      </c>
      <c r="AA98" s="96">
        <v>239257.10809020002</v>
      </c>
      <c r="AB98" s="96">
        <v>255541.28987130002</v>
      </c>
      <c r="AC98" s="113">
        <v>6.8061433622949474</v>
      </c>
      <c r="AD98" s="113">
        <v>14.108580937492846</v>
      </c>
      <c r="AE98" s="113"/>
      <c r="AF98" s="113"/>
      <c r="AG98" s="96"/>
      <c r="AH98" s="96"/>
      <c r="AI98" s="113"/>
      <c r="AJ98" s="96"/>
      <c r="AK98" s="96"/>
      <c r="AL98" s="113"/>
      <c r="AM98" s="113"/>
    </row>
    <row r="99" spans="1:39">
      <c r="A99" s="140"/>
      <c r="B99" s="141" t="s">
        <v>82</v>
      </c>
      <c r="C99" s="96">
        <v>0</v>
      </c>
      <c r="D99" s="96">
        <v>0</v>
      </c>
      <c r="E99" s="113" t="s">
        <v>126</v>
      </c>
      <c r="F99" s="96">
        <v>-6.9229999999999997E-4</v>
      </c>
      <c r="G99" s="96">
        <v>0</v>
      </c>
      <c r="H99" s="113">
        <v>-100</v>
      </c>
      <c r="I99" s="113">
        <v>0</v>
      </c>
      <c r="J99" s="103">
        <v>0</v>
      </c>
      <c r="K99" s="103">
        <v>0</v>
      </c>
      <c r="L99" s="113" t="s">
        <v>126</v>
      </c>
      <c r="M99" s="103">
        <v>0</v>
      </c>
      <c r="N99" s="103">
        <v>0</v>
      </c>
      <c r="O99" s="113" t="s">
        <v>126</v>
      </c>
      <c r="P99" s="113">
        <v>0</v>
      </c>
      <c r="Q99" s="106">
        <v>0</v>
      </c>
      <c r="R99" s="106">
        <v>0</v>
      </c>
      <c r="S99" s="113" t="s">
        <v>126</v>
      </c>
      <c r="T99" s="106">
        <v>0</v>
      </c>
      <c r="U99" s="106">
        <v>0</v>
      </c>
      <c r="V99" s="113" t="s">
        <v>126</v>
      </c>
      <c r="W99" s="113">
        <v>0</v>
      </c>
      <c r="X99" s="96">
        <v>0</v>
      </c>
      <c r="Y99" s="96">
        <v>0</v>
      </c>
      <c r="Z99" s="113" t="s">
        <v>126</v>
      </c>
      <c r="AA99" s="96">
        <v>0</v>
      </c>
      <c r="AB99" s="96">
        <v>0</v>
      </c>
      <c r="AC99" s="113" t="s">
        <v>126</v>
      </c>
      <c r="AD99" s="113">
        <v>0</v>
      </c>
      <c r="AE99" s="113"/>
      <c r="AF99" s="113"/>
      <c r="AG99" s="96"/>
      <c r="AH99" s="96"/>
      <c r="AI99" s="113"/>
      <c r="AJ99" s="96"/>
      <c r="AK99" s="96"/>
      <c r="AL99" s="113"/>
      <c r="AM99" s="113"/>
    </row>
    <row r="100" spans="1:39" ht="15">
      <c r="A100" s="140"/>
      <c r="B100" s="142" t="s">
        <v>83</v>
      </c>
      <c r="C100" s="96">
        <v>249.69123820999997</v>
      </c>
      <c r="D100" s="96">
        <v>429.43297527000004</v>
      </c>
      <c r="E100" s="113">
        <v>71.985600435378643</v>
      </c>
      <c r="F100" s="96">
        <v>2529.2207997800001</v>
      </c>
      <c r="G100" s="96">
        <v>4663.9895944399996</v>
      </c>
      <c r="H100" s="113">
        <v>84.404208396739762</v>
      </c>
      <c r="I100" s="113">
        <v>41.819672973792528</v>
      </c>
      <c r="J100" s="103">
        <v>122</v>
      </c>
      <c r="K100" s="103">
        <v>216</v>
      </c>
      <c r="L100" s="113">
        <v>77.049180327868854</v>
      </c>
      <c r="M100" s="103">
        <v>1657</v>
      </c>
      <c r="N100" s="103">
        <v>1736</v>
      </c>
      <c r="O100" s="113">
        <v>4.7676523838261931</v>
      </c>
      <c r="P100" s="113">
        <v>6.3115797127794941</v>
      </c>
      <c r="Q100" s="106">
        <v>585478</v>
      </c>
      <c r="R100" s="106">
        <v>1618258</v>
      </c>
      <c r="S100" s="113">
        <v>176.39945480445039</v>
      </c>
      <c r="T100" s="106">
        <v>6406970</v>
      </c>
      <c r="U100" s="106">
        <v>6039582</v>
      </c>
      <c r="V100" s="113">
        <v>-5.7341926058651733</v>
      </c>
      <c r="W100" s="113">
        <v>7.6454139702849533</v>
      </c>
      <c r="X100" s="96">
        <v>59025.793990000006</v>
      </c>
      <c r="Y100" s="96">
        <v>82118.012823929996</v>
      </c>
      <c r="Z100" s="113">
        <v>39.122250245108447</v>
      </c>
      <c r="AA100" s="96">
        <v>406447.47219999996</v>
      </c>
      <c r="AB100" s="96">
        <v>485183.21831326006</v>
      </c>
      <c r="AC100" s="113">
        <v>19.371690439377787</v>
      </c>
      <c r="AD100" s="113">
        <v>12.746558836520339</v>
      </c>
      <c r="AE100" s="113"/>
      <c r="AF100" s="113"/>
      <c r="AG100" s="96"/>
      <c r="AH100" s="96"/>
      <c r="AI100" s="113"/>
      <c r="AJ100" s="96"/>
      <c r="AK100" s="96"/>
      <c r="AL100" s="113"/>
      <c r="AM100" s="113"/>
    </row>
    <row r="101" spans="1:39">
      <c r="A101" s="140"/>
      <c r="B101" s="144"/>
      <c r="C101" s="105"/>
      <c r="D101" s="105"/>
      <c r="E101" s="113"/>
      <c r="F101" s="105"/>
      <c r="G101" s="105"/>
      <c r="H101" s="113"/>
      <c r="I101" s="110"/>
      <c r="J101" s="103"/>
      <c r="K101" s="103"/>
      <c r="L101" s="113"/>
      <c r="M101" s="103"/>
      <c r="N101" s="103"/>
      <c r="O101" s="113"/>
      <c r="P101" s="113"/>
      <c r="Q101" s="103"/>
      <c r="R101" s="103"/>
      <c r="S101" s="113"/>
      <c r="T101" s="103"/>
      <c r="U101" s="103"/>
      <c r="V101" s="113"/>
      <c r="W101" s="113"/>
      <c r="X101" s="96"/>
      <c r="Y101" s="96"/>
      <c r="Z101" s="113"/>
      <c r="AA101" s="96"/>
      <c r="AB101" s="96"/>
      <c r="AC101" s="113"/>
      <c r="AD101" s="113"/>
      <c r="AE101" s="113"/>
      <c r="AF101" s="113"/>
      <c r="AG101" s="96"/>
      <c r="AH101" s="96"/>
      <c r="AI101" s="113"/>
      <c r="AJ101" s="96"/>
      <c r="AK101" s="96"/>
      <c r="AL101" s="113"/>
      <c r="AM101" s="113"/>
    </row>
    <row r="102" spans="1:39" s="138" customFormat="1" ht="15">
      <c r="A102" s="13">
        <v>15</v>
      </c>
      <c r="B102" s="139" t="s">
        <v>96</v>
      </c>
      <c r="C102" s="101">
        <v>168.51916343100089</v>
      </c>
      <c r="D102" s="101">
        <v>243.54866708200007</v>
      </c>
      <c r="E102" s="110">
        <v>44.522831779733771</v>
      </c>
      <c r="F102" s="101">
        <v>2611.8638974135292</v>
      </c>
      <c r="G102" s="101">
        <v>2263.5827788390093</v>
      </c>
      <c r="H102" s="110">
        <v>-13.334581442754923</v>
      </c>
      <c r="I102" s="110">
        <v>0.73994551019800958</v>
      </c>
      <c r="J102" s="102">
        <v>15861</v>
      </c>
      <c r="K102" s="102">
        <v>20610</v>
      </c>
      <c r="L102" s="110">
        <v>29.941365613769634</v>
      </c>
      <c r="M102" s="101">
        <v>218497</v>
      </c>
      <c r="N102" s="101">
        <v>157181</v>
      </c>
      <c r="O102" s="110">
        <v>-28.062627862167446</v>
      </c>
      <c r="P102" s="110">
        <v>0.75830603479530567</v>
      </c>
      <c r="Q102" s="102">
        <v>677816</v>
      </c>
      <c r="R102" s="102">
        <v>698935</v>
      </c>
      <c r="S102" s="110">
        <v>3.1157423253508343</v>
      </c>
      <c r="T102" s="102">
        <v>13160237</v>
      </c>
      <c r="U102" s="102">
        <v>12470718</v>
      </c>
      <c r="V102" s="110">
        <v>-5.23941172184057</v>
      </c>
      <c r="W102" s="110">
        <v>5.8233919855388709</v>
      </c>
      <c r="X102" s="101">
        <v>12075.480902500003</v>
      </c>
      <c r="Y102" s="101">
        <v>27040.482588400035</v>
      </c>
      <c r="Z102" s="110">
        <v>123.92882574806445</v>
      </c>
      <c r="AA102" s="101">
        <v>268153.78081319999</v>
      </c>
      <c r="AB102" s="101">
        <v>313708.08136600006</v>
      </c>
      <c r="AC102" s="110">
        <v>16.98812540127259</v>
      </c>
      <c r="AD102" s="110">
        <v>3.7391156002283541</v>
      </c>
      <c r="AE102" s="110"/>
      <c r="AF102" s="110"/>
      <c r="AG102" s="101"/>
      <c r="AH102" s="101"/>
      <c r="AI102" s="110"/>
      <c r="AJ102" s="101"/>
      <c r="AK102" s="101"/>
      <c r="AL102" s="110"/>
      <c r="AM102" s="110"/>
    </row>
    <row r="103" spans="1:39" s="21" customFormat="1">
      <c r="A103" s="140"/>
      <c r="B103" s="141" t="s">
        <v>79</v>
      </c>
      <c r="C103" s="96">
        <v>5.713406299999999</v>
      </c>
      <c r="D103" s="96">
        <v>4.8483972389999996</v>
      </c>
      <c r="E103" s="113">
        <v>-15.139988573891539</v>
      </c>
      <c r="F103" s="96">
        <v>479.31542379999996</v>
      </c>
      <c r="G103" s="96">
        <v>95.148679598000001</v>
      </c>
      <c r="H103" s="113">
        <v>-80.149046979614425</v>
      </c>
      <c r="I103" s="113">
        <v>0.24007900421315112</v>
      </c>
      <c r="J103" s="103">
        <v>120</v>
      </c>
      <c r="K103" s="103">
        <v>125</v>
      </c>
      <c r="L103" s="113">
        <v>4.1666666666666741</v>
      </c>
      <c r="M103" s="103">
        <v>9613</v>
      </c>
      <c r="N103" s="103">
        <v>1735</v>
      </c>
      <c r="O103" s="113">
        <v>-81.951523977946522</v>
      </c>
      <c r="P103" s="113">
        <v>0.16576586216879075</v>
      </c>
      <c r="Q103" s="103"/>
      <c r="R103" s="103"/>
      <c r="S103" s="113" t="s">
        <v>126</v>
      </c>
      <c r="T103" s="103"/>
      <c r="U103" s="103"/>
      <c r="V103" s="113" t="s">
        <v>126</v>
      </c>
      <c r="W103" s="113" t="s">
        <v>126</v>
      </c>
      <c r="X103" s="96">
        <v>7.4007921000000003</v>
      </c>
      <c r="Y103" s="96">
        <v>5.1451041000000002</v>
      </c>
      <c r="Z103" s="113">
        <v>-30.47900778080227</v>
      </c>
      <c r="AA103" s="96">
        <v>616.94234240000003</v>
      </c>
      <c r="AB103" s="96">
        <v>110.48824990000001</v>
      </c>
      <c r="AC103" s="113">
        <v>-82.090992576359113</v>
      </c>
      <c r="AD103" s="113">
        <v>0.35109711058207904</v>
      </c>
      <c r="AE103" s="113"/>
      <c r="AF103" s="113"/>
      <c r="AG103" s="96"/>
      <c r="AH103" s="96"/>
      <c r="AI103" s="113"/>
      <c r="AJ103" s="96"/>
      <c r="AK103" s="96"/>
      <c r="AL103" s="113"/>
      <c r="AM103" s="113"/>
    </row>
    <row r="104" spans="1:39">
      <c r="A104" s="140"/>
      <c r="B104" s="141" t="s">
        <v>80</v>
      </c>
      <c r="C104" s="96">
        <v>100.61490699999999</v>
      </c>
      <c r="D104" s="96">
        <v>162.41348231000001</v>
      </c>
      <c r="E104" s="113">
        <v>61.420893933738881</v>
      </c>
      <c r="F104" s="96">
        <v>1141.9790502000001</v>
      </c>
      <c r="G104" s="96">
        <v>1069.0038277750004</v>
      </c>
      <c r="H104" s="113">
        <v>-6.3902417835265179</v>
      </c>
      <c r="I104" s="113">
        <v>1.2009648597761529</v>
      </c>
      <c r="J104" s="103">
        <v>15727</v>
      </c>
      <c r="K104" s="103">
        <v>20467</v>
      </c>
      <c r="L104" s="113">
        <v>30.139250969669984</v>
      </c>
      <c r="M104" s="103">
        <v>208739</v>
      </c>
      <c r="N104" s="103">
        <v>155308</v>
      </c>
      <c r="O104" s="113">
        <v>-25.597037448679927</v>
      </c>
      <c r="P104" s="113">
        <v>0.79048977302456447</v>
      </c>
      <c r="Q104" s="103"/>
      <c r="R104" s="103"/>
      <c r="S104" s="113" t="s">
        <v>126</v>
      </c>
      <c r="T104" s="103"/>
      <c r="U104" s="103"/>
      <c r="V104" s="113" t="s">
        <v>126</v>
      </c>
      <c r="W104" s="113" t="s">
        <v>126</v>
      </c>
      <c r="X104" s="96">
        <v>955.73051600000031</v>
      </c>
      <c r="Y104" s="96">
        <v>6694.7058797</v>
      </c>
      <c r="Z104" s="113">
        <v>600.48049817632875</v>
      </c>
      <c r="AA104" s="96">
        <v>11915.969982399998</v>
      </c>
      <c r="AB104" s="96">
        <v>27897.936789399999</v>
      </c>
      <c r="AC104" s="113">
        <v>134.1222479630741</v>
      </c>
      <c r="AD104" s="113">
        <v>1.053017438574894</v>
      </c>
      <c r="AE104" s="113"/>
      <c r="AF104" s="113"/>
      <c r="AG104" s="96"/>
      <c r="AH104" s="96"/>
      <c r="AI104" s="113"/>
      <c r="AJ104" s="96"/>
      <c r="AK104" s="96"/>
      <c r="AL104" s="113"/>
      <c r="AM104" s="113"/>
    </row>
    <row r="105" spans="1:39">
      <c r="A105" s="140"/>
      <c r="B105" s="141" t="s">
        <v>81</v>
      </c>
      <c r="C105" s="96">
        <v>62.18061644400089</v>
      </c>
      <c r="D105" s="96">
        <v>76.259262465000049</v>
      </c>
      <c r="E105" s="113">
        <v>22.641534976865696</v>
      </c>
      <c r="F105" s="96">
        <v>990.3434885695292</v>
      </c>
      <c r="G105" s="96">
        <v>1099.210342534009</v>
      </c>
      <c r="H105" s="113">
        <v>10.992837860905125</v>
      </c>
      <c r="I105" s="113">
        <v>0.67039160790824259</v>
      </c>
      <c r="J105" s="103">
        <v>14</v>
      </c>
      <c r="K105" s="103">
        <v>18</v>
      </c>
      <c r="L105" s="113">
        <v>28.57142857142858</v>
      </c>
      <c r="M105" s="103">
        <v>145</v>
      </c>
      <c r="N105" s="103">
        <v>137</v>
      </c>
      <c r="O105" s="113">
        <v>-5.5172413793103452</v>
      </c>
      <c r="P105" s="113">
        <v>5.0816023738872405</v>
      </c>
      <c r="Q105" s="103">
        <v>677805</v>
      </c>
      <c r="R105" s="103">
        <v>698923</v>
      </c>
      <c r="S105" s="113">
        <v>3.1156453552275254</v>
      </c>
      <c r="T105" s="103">
        <v>13160050</v>
      </c>
      <c r="U105" s="103">
        <v>12470596</v>
      </c>
      <c r="V105" s="113">
        <v>-5.2389922530689521</v>
      </c>
      <c r="W105" s="113">
        <v>9.8155695403289371</v>
      </c>
      <c r="X105" s="96">
        <v>11110.167794400002</v>
      </c>
      <c r="Y105" s="96">
        <v>20337.348582600036</v>
      </c>
      <c r="Z105" s="113">
        <v>83.051678057022031</v>
      </c>
      <c r="AA105" s="96">
        <v>255573.54343880003</v>
      </c>
      <c r="AB105" s="96">
        <v>285662.05037490005</v>
      </c>
      <c r="AC105" s="113">
        <v>11.772934917774492</v>
      </c>
      <c r="AD105" s="113">
        <v>15.771565372133153</v>
      </c>
      <c r="AE105" s="113"/>
      <c r="AF105" s="113"/>
      <c r="AG105" s="96"/>
      <c r="AH105" s="96"/>
      <c r="AI105" s="113"/>
      <c r="AJ105" s="96"/>
      <c r="AK105" s="96"/>
      <c r="AL105" s="113"/>
      <c r="AM105" s="113"/>
    </row>
    <row r="106" spans="1:39">
      <c r="A106" s="140"/>
      <c r="B106" s="141" t="s">
        <v>82</v>
      </c>
      <c r="C106" s="96">
        <v>1.0233687E-2</v>
      </c>
      <c r="D106" s="96">
        <v>2.7525067999999937E-2</v>
      </c>
      <c r="E106" s="113">
        <v>168.96531035197714</v>
      </c>
      <c r="F106" s="96">
        <v>0.22593484399999997</v>
      </c>
      <c r="G106" s="96">
        <v>0.21992893199999997</v>
      </c>
      <c r="H106" s="113">
        <v>-2.6582495615417367</v>
      </c>
      <c r="I106" s="113">
        <v>1.0230482896637428E-2</v>
      </c>
      <c r="J106" s="103">
        <v>0</v>
      </c>
      <c r="K106" s="103">
        <v>0</v>
      </c>
      <c r="L106" s="113" t="s">
        <v>126</v>
      </c>
      <c r="M106" s="103">
        <v>0</v>
      </c>
      <c r="N106" s="103">
        <v>1</v>
      </c>
      <c r="O106" s="113" t="s">
        <v>126</v>
      </c>
      <c r="P106" s="113">
        <v>2.5043826696719257E-2</v>
      </c>
      <c r="Q106" s="106">
        <v>11</v>
      </c>
      <c r="R106" s="106">
        <v>12</v>
      </c>
      <c r="S106" s="113">
        <v>9.0909090909090828</v>
      </c>
      <c r="T106" s="106">
        <v>187</v>
      </c>
      <c r="U106" s="106">
        <v>122</v>
      </c>
      <c r="V106" s="113">
        <v>-34.759358288770045</v>
      </c>
      <c r="W106" s="113">
        <v>1.5055367966767619E-3</v>
      </c>
      <c r="X106" s="96">
        <v>2.1818</v>
      </c>
      <c r="Y106" s="96">
        <v>3.2830220000000003</v>
      </c>
      <c r="Z106" s="113">
        <v>50.473095609130091</v>
      </c>
      <c r="AA106" s="96">
        <v>47.3250496</v>
      </c>
      <c r="AB106" s="96">
        <v>37.6059518</v>
      </c>
      <c r="AC106" s="113">
        <v>-20.536899342203753</v>
      </c>
      <c r="AD106" s="113">
        <v>4.1115072691431803E-2</v>
      </c>
      <c r="AE106" s="113"/>
      <c r="AF106" s="113"/>
      <c r="AG106" s="96"/>
      <c r="AH106" s="96"/>
      <c r="AI106" s="113"/>
      <c r="AJ106" s="96"/>
      <c r="AK106" s="96"/>
      <c r="AL106" s="113"/>
      <c r="AM106" s="113"/>
    </row>
    <row r="107" spans="1:39" ht="15">
      <c r="A107" s="140"/>
      <c r="B107" s="142" t="s">
        <v>83</v>
      </c>
      <c r="C107" s="96">
        <v>0</v>
      </c>
      <c r="D107" s="96">
        <v>0</v>
      </c>
      <c r="E107" s="113" t="s">
        <v>126</v>
      </c>
      <c r="F107" s="96">
        <v>0</v>
      </c>
      <c r="G107" s="96">
        <v>0</v>
      </c>
      <c r="H107" s="113" t="s">
        <v>126</v>
      </c>
      <c r="I107" s="113">
        <v>0</v>
      </c>
      <c r="J107" s="103">
        <v>0</v>
      </c>
      <c r="K107" s="103">
        <v>0</v>
      </c>
      <c r="L107" s="113" t="s">
        <v>126</v>
      </c>
      <c r="M107" s="103">
        <v>0</v>
      </c>
      <c r="N107" s="103">
        <v>0</v>
      </c>
      <c r="O107" s="113" t="s">
        <v>126</v>
      </c>
      <c r="P107" s="113">
        <v>0</v>
      </c>
      <c r="Q107" s="106">
        <v>0</v>
      </c>
      <c r="R107" s="106">
        <v>0</v>
      </c>
      <c r="S107" s="113" t="s">
        <v>126</v>
      </c>
      <c r="T107" s="106">
        <v>0</v>
      </c>
      <c r="U107" s="106">
        <v>0</v>
      </c>
      <c r="V107" s="113" t="s">
        <v>126</v>
      </c>
      <c r="W107" s="113">
        <v>0</v>
      </c>
      <c r="X107" s="96">
        <v>0</v>
      </c>
      <c r="Y107" s="96">
        <v>0</v>
      </c>
      <c r="Z107" s="113" t="s">
        <v>126</v>
      </c>
      <c r="AA107" s="96">
        <v>0</v>
      </c>
      <c r="AB107" s="96">
        <v>0</v>
      </c>
      <c r="AC107" s="113" t="s">
        <v>126</v>
      </c>
      <c r="AD107" s="113">
        <v>0</v>
      </c>
      <c r="AE107" s="113"/>
      <c r="AF107" s="113"/>
      <c r="AG107" s="96"/>
      <c r="AH107" s="96"/>
      <c r="AI107" s="113"/>
      <c r="AJ107" s="96"/>
      <c r="AK107" s="96"/>
      <c r="AL107" s="113"/>
      <c r="AM107" s="113"/>
    </row>
    <row r="108" spans="1:39">
      <c r="A108" s="140"/>
      <c r="B108" s="144"/>
      <c r="C108" s="104"/>
      <c r="D108" s="104"/>
      <c r="E108" s="113"/>
      <c r="F108" s="104"/>
      <c r="G108" s="104"/>
      <c r="H108" s="113"/>
      <c r="I108" s="110"/>
      <c r="J108" s="103"/>
      <c r="K108" s="103"/>
      <c r="L108" s="113"/>
      <c r="M108" s="103"/>
      <c r="N108" s="103"/>
      <c r="O108" s="113"/>
      <c r="P108" s="113"/>
      <c r="Q108" s="103"/>
      <c r="R108" s="103"/>
      <c r="S108" s="113"/>
      <c r="T108" s="103"/>
      <c r="U108" s="103"/>
      <c r="V108" s="113"/>
      <c r="W108" s="113"/>
      <c r="X108" s="96"/>
      <c r="Y108" s="96"/>
      <c r="Z108" s="113"/>
      <c r="AA108" s="96"/>
      <c r="AB108" s="96"/>
      <c r="AC108" s="113"/>
      <c r="AD108" s="113"/>
      <c r="AE108" s="113"/>
      <c r="AF108" s="113"/>
      <c r="AG108" s="96"/>
      <c r="AH108" s="96"/>
      <c r="AI108" s="113"/>
      <c r="AJ108" s="96"/>
      <c r="AK108" s="96"/>
      <c r="AL108" s="113"/>
      <c r="AM108" s="113"/>
    </row>
    <row r="109" spans="1:39" s="138" customFormat="1" ht="15">
      <c r="A109" s="13">
        <v>16</v>
      </c>
      <c r="B109" s="139" t="s">
        <v>97</v>
      </c>
      <c r="C109" s="101">
        <v>738.2764212670013</v>
      </c>
      <c r="D109" s="101">
        <v>754.33523954599968</v>
      </c>
      <c r="E109" s="110">
        <v>2.1751769142835276</v>
      </c>
      <c r="F109" s="101">
        <v>5817.2461938860015</v>
      </c>
      <c r="G109" s="101">
        <v>6161.2972789759951</v>
      </c>
      <c r="H109" s="110">
        <v>5.914329110767147</v>
      </c>
      <c r="I109" s="110">
        <v>2.0140744580641412</v>
      </c>
      <c r="J109" s="102">
        <v>30217</v>
      </c>
      <c r="K109" s="102">
        <v>29331</v>
      </c>
      <c r="L109" s="110">
        <v>-2.9321243008902265</v>
      </c>
      <c r="M109" s="101">
        <v>223563</v>
      </c>
      <c r="N109" s="101">
        <v>216460</v>
      </c>
      <c r="O109" s="110">
        <v>-3.1771804815644789</v>
      </c>
      <c r="P109" s="110">
        <v>1.0442924036097994</v>
      </c>
      <c r="Q109" s="102">
        <v>2187846</v>
      </c>
      <c r="R109" s="102">
        <v>1122279</v>
      </c>
      <c r="S109" s="110">
        <v>-48.703930715415986</v>
      </c>
      <c r="T109" s="102">
        <v>18470788</v>
      </c>
      <c r="U109" s="102">
        <v>14181295</v>
      </c>
      <c r="V109" s="110">
        <v>-23.223118580539172</v>
      </c>
      <c r="W109" s="110">
        <v>6.6221720070618595</v>
      </c>
      <c r="X109" s="101">
        <v>27716.112828667017</v>
      </c>
      <c r="Y109" s="101">
        <v>25719.884190717996</v>
      </c>
      <c r="Z109" s="110">
        <v>-7.2024120059300145</v>
      </c>
      <c r="AA109" s="101">
        <v>251379.343891786</v>
      </c>
      <c r="AB109" s="101">
        <v>227870.89112027295</v>
      </c>
      <c r="AC109" s="110">
        <v>-9.3517838051295872</v>
      </c>
      <c r="AD109" s="110">
        <v>2.7160142005767711</v>
      </c>
      <c r="AE109" s="110"/>
      <c r="AF109" s="110"/>
      <c r="AG109" s="101"/>
      <c r="AH109" s="101"/>
      <c r="AI109" s="110"/>
      <c r="AJ109" s="101"/>
      <c r="AK109" s="101"/>
      <c r="AL109" s="110"/>
      <c r="AM109" s="110"/>
    </row>
    <row r="110" spans="1:39">
      <c r="A110" s="140"/>
      <c r="B110" s="141" t="s">
        <v>79</v>
      </c>
      <c r="C110" s="96">
        <v>163.54819470000001</v>
      </c>
      <c r="D110" s="96">
        <v>64.606783899999996</v>
      </c>
      <c r="E110" s="113">
        <v>-60.496791775348171</v>
      </c>
      <c r="F110" s="96">
        <v>984.74251261799986</v>
      </c>
      <c r="G110" s="96">
        <v>1047.9265580000001</v>
      </c>
      <c r="H110" s="113">
        <v>6.4163011723766816</v>
      </c>
      <c r="I110" s="113">
        <v>2.6441267035558864</v>
      </c>
      <c r="J110" s="103">
        <v>4856</v>
      </c>
      <c r="K110" s="103">
        <v>884</v>
      </c>
      <c r="L110" s="113">
        <v>-81.795716639209232</v>
      </c>
      <c r="M110" s="103">
        <v>24213</v>
      </c>
      <c r="N110" s="103">
        <v>16625</v>
      </c>
      <c r="O110" s="113">
        <v>-31.338537149465161</v>
      </c>
      <c r="P110" s="113">
        <v>1.5883904660265971</v>
      </c>
      <c r="Q110" s="103"/>
      <c r="R110" s="103"/>
      <c r="S110" s="113" t="s">
        <v>126</v>
      </c>
      <c r="T110" s="103"/>
      <c r="U110" s="103"/>
      <c r="V110" s="113" t="s">
        <v>126</v>
      </c>
      <c r="W110" s="113" t="s">
        <v>126</v>
      </c>
      <c r="X110" s="96">
        <v>706.59786229999997</v>
      </c>
      <c r="Y110" s="96">
        <v>71.271152900000004</v>
      </c>
      <c r="Z110" s="113">
        <v>-89.913477424342886</v>
      </c>
      <c r="AA110" s="96">
        <v>3781.9763920999999</v>
      </c>
      <c r="AB110" s="96">
        <v>2944.3354322519999</v>
      </c>
      <c r="AC110" s="113">
        <v>-22.148233436827113</v>
      </c>
      <c r="AD110" s="113">
        <v>9.3561773653192208</v>
      </c>
      <c r="AE110" s="113"/>
      <c r="AF110" s="113"/>
      <c r="AG110" s="96"/>
      <c r="AH110" s="96"/>
      <c r="AI110" s="113"/>
      <c r="AJ110" s="96"/>
      <c r="AK110" s="96"/>
      <c r="AL110" s="113"/>
      <c r="AM110" s="113"/>
    </row>
    <row r="111" spans="1:39">
      <c r="A111" s="140"/>
      <c r="B111" s="141" t="s">
        <v>80</v>
      </c>
      <c r="C111" s="96">
        <v>252.53104978100146</v>
      </c>
      <c r="D111" s="96">
        <v>295.16314384499992</v>
      </c>
      <c r="E111" s="113">
        <v>16.881921688825852</v>
      </c>
      <c r="F111" s="96">
        <v>1655.2258630830024</v>
      </c>
      <c r="G111" s="96">
        <v>1885.9752188719938</v>
      </c>
      <c r="H111" s="113">
        <v>13.940656736670398</v>
      </c>
      <c r="I111" s="113">
        <v>2.1187856445642486</v>
      </c>
      <c r="J111" s="103">
        <v>25305</v>
      </c>
      <c r="K111" s="103">
        <v>28391</v>
      </c>
      <c r="L111" s="113">
        <v>12.195218336297176</v>
      </c>
      <c r="M111" s="103">
        <v>198692</v>
      </c>
      <c r="N111" s="103">
        <v>199072</v>
      </c>
      <c r="O111" s="113">
        <v>0.19125078010187035</v>
      </c>
      <c r="P111" s="113">
        <v>1.013240657889781</v>
      </c>
      <c r="Q111" s="103"/>
      <c r="R111" s="103"/>
      <c r="S111" s="113" t="s">
        <v>126</v>
      </c>
      <c r="T111" s="103"/>
      <c r="U111" s="103"/>
      <c r="V111" s="113" t="s">
        <v>126</v>
      </c>
      <c r="W111" s="113" t="s">
        <v>126</v>
      </c>
      <c r="X111" s="96">
        <v>3987.2831669000002</v>
      </c>
      <c r="Y111" s="96">
        <v>6198.8717140999997</v>
      </c>
      <c r="Z111" s="113">
        <v>55.466051810898762</v>
      </c>
      <c r="AA111" s="96">
        <v>27788.9748597</v>
      </c>
      <c r="AB111" s="96">
        <v>38173.761120499999</v>
      </c>
      <c r="AC111" s="113">
        <v>37.37016681338676</v>
      </c>
      <c r="AD111" s="113">
        <v>1.4408820429743083</v>
      </c>
      <c r="AE111" s="113"/>
      <c r="AF111" s="113"/>
      <c r="AG111" s="96"/>
      <c r="AH111" s="96"/>
      <c r="AI111" s="113"/>
      <c r="AJ111" s="96"/>
      <c r="AK111" s="96"/>
      <c r="AL111" s="113"/>
      <c r="AM111" s="113"/>
    </row>
    <row r="112" spans="1:39">
      <c r="A112" s="140"/>
      <c r="B112" s="141" t="s">
        <v>81</v>
      </c>
      <c r="C112" s="96">
        <v>233.83121124599995</v>
      </c>
      <c r="D112" s="96">
        <v>194.86222505699985</v>
      </c>
      <c r="E112" s="113">
        <v>-16.665434003163572</v>
      </c>
      <c r="F112" s="96">
        <v>2180.0601375379988</v>
      </c>
      <c r="G112" s="96">
        <v>1915.7310312610009</v>
      </c>
      <c r="H112" s="113">
        <v>-12.124853884788333</v>
      </c>
      <c r="I112" s="113">
        <v>1.1683751113604928</v>
      </c>
      <c r="J112" s="103">
        <v>17</v>
      </c>
      <c r="K112" s="103">
        <v>12</v>
      </c>
      <c r="L112" s="113">
        <v>-29.411764705882348</v>
      </c>
      <c r="M112" s="103">
        <v>84</v>
      </c>
      <c r="N112" s="103">
        <v>77</v>
      </c>
      <c r="O112" s="113">
        <v>-8.3333333333333375</v>
      </c>
      <c r="P112" s="113">
        <v>2.8560830860534123</v>
      </c>
      <c r="Q112" s="103">
        <v>2048976</v>
      </c>
      <c r="R112" s="103">
        <v>1101597</v>
      </c>
      <c r="S112" s="113">
        <v>-46.236705554384237</v>
      </c>
      <c r="T112" s="103">
        <v>17605238</v>
      </c>
      <c r="U112" s="103">
        <v>13410035</v>
      </c>
      <c r="V112" s="113">
        <v>-23.829288760538205</v>
      </c>
      <c r="W112" s="113">
        <v>10.554999222230032</v>
      </c>
      <c r="X112" s="96">
        <v>18587.894809000016</v>
      </c>
      <c r="Y112" s="96">
        <v>14039.618953899995</v>
      </c>
      <c r="Z112" s="113">
        <v>-24.469020843058598</v>
      </c>
      <c r="AA112" s="96">
        <v>152332.71208319999</v>
      </c>
      <c r="AB112" s="96">
        <v>144630.11655789995</v>
      </c>
      <c r="AC112" s="113">
        <v>-5.0564290623888457</v>
      </c>
      <c r="AD112" s="113">
        <v>7.9851115507941568</v>
      </c>
      <c r="AE112" s="113"/>
      <c r="AF112" s="113"/>
      <c r="AG112" s="96"/>
      <c r="AH112" s="96"/>
      <c r="AI112" s="113"/>
      <c r="AJ112" s="96"/>
      <c r="AK112" s="96"/>
      <c r="AL112" s="113"/>
      <c r="AM112" s="113"/>
    </row>
    <row r="113" spans="1:39">
      <c r="A113" s="140"/>
      <c r="B113" s="141" t="s">
        <v>82</v>
      </c>
      <c r="C113" s="96">
        <v>4.7897575000000005E-2</v>
      </c>
      <c r="D113" s="96">
        <v>1.1510080999999998E-2</v>
      </c>
      <c r="E113" s="113">
        <v>-75.96938675914177</v>
      </c>
      <c r="F113" s="96">
        <v>1.5642926160000008</v>
      </c>
      <c r="G113" s="96">
        <v>9.5766354000000012E-2</v>
      </c>
      <c r="H113" s="113">
        <v>-93.877976983303739</v>
      </c>
      <c r="I113" s="113">
        <v>4.4547847241413674E-3</v>
      </c>
      <c r="J113" s="103">
        <v>1</v>
      </c>
      <c r="K113" s="103">
        <v>0</v>
      </c>
      <c r="L113" s="113">
        <v>-100</v>
      </c>
      <c r="M113" s="103">
        <v>8</v>
      </c>
      <c r="N113" s="103">
        <v>5</v>
      </c>
      <c r="O113" s="113">
        <v>-37.5</v>
      </c>
      <c r="P113" s="113">
        <v>0.12521913348359628</v>
      </c>
      <c r="Q113" s="106">
        <v>21</v>
      </c>
      <c r="R113" s="106">
        <v>9</v>
      </c>
      <c r="S113" s="113">
        <v>-57.142857142857139</v>
      </c>
      <c r="T113" s="106">
        <v>24873</v>
      </c>
      <c r="U113" s="106">
        <v>305</v>
      </c>
      <c r="V113" s="113">
        <v>-98.773770755437624</v>
      </c>
      <c r="W113" s="113">
        <v>3.7638419916919048E-3</v>
      </c>
      <c r="X113" s="96">
        <v>2.5297527</v>
      </c>
      <c r="Y113" s="96">
        <v>1.4102833000000001</v>
      </c>
      <c r="Z113" s="113">
        <v>-44.252127885860141</v>
      </c>
      <c r="AA113" s="96">
        <v>2179.5440816999999</v>
      </c>
      <c r="AB113" s="96">
        <v>33.1097818</v>
      </c>
      <c r="AC113" s="113">
        <v>-98.480884966814941</v>
      </c>
      <c r="AD113" s="113">
        <v>3.6199351973440694E-2</v>
      </c>
      <c r="AE113" s="113"/>
      <c r="AF113" s="113"/>
      <c r="AG113" s="96"/>
      <c r="AH113" s="96"/>
      <c r="AI113" s="113"/>
      <c r="AJ113" s="96"/>
      <c r="AK113" s="96"/>
      <c r="AL113" s="113"/>
      <c r="AM113" s="113"/>
    </row>
    <row r="114" spans="1:39" ht="15">
      <c r="A114" s="140"/>
      <c r="B114" s="142" t="s">
        <v>83</v>
      </c>
      <c r="C114" s="96">
        <v>88.318067964999941</v>
      </c>
      <c r="D114" s="96">
        <v>199.69157666300001</v>
      </c>
      <c r="E114" s="113">
        <v>126.10501029317906</v>
      </c>
      <c r="F114" s="96">
        <v>995.65338803099996</v>
      </c>
      <c r="G114" s="96">
        <v>1311.5687044889999</v>
      </c>
      <c r="H114" s="113">
        <v>31.729447240947238</v>
      </c>
      <c r="I114" s="113">
        <v>11.760183678320665</v>
      </c>
      <c r="J114" s="103">
        <v>38</v>
      </c>
      <c r="K114" s="103">
        <v>44</v>
      </c>
      <c r="L114" s="113">
        <v>15.789473684210531</v>
      </c>
      <c r="M114" s="103">
        <v>566</v>
      </c>
      <c r="N114" s="155">
        <v>681</v>
      </c>
      <c r="O114" s="113">
        <v>20.318021201413416</v>
      </c>
      <c r="P114" s="113">
        <v>2.4759134702781309</v>
      </c>
      <c r="Q114" s="106">
        <v>138849</v>
      </c>
      <c r="R114" s="106">
        <v>20673</v>
      </c>
      <c r="S114" s="113">
        <v>-85.11116392627963</v>
      </c>
      <c r="T114" s="106">
        <v>840677</v>
      </c>
      <c r="U114" s="106">
        <v>770955</v>
      </c>
      <c r="V114" s="113">
        <v>-8.2935538857373263</v>
      </c>
      <c r="W114" s="113">
        <v>0.97594007788304493</v>
      </c>
      <c r="X114" s="96">
        <v>4431.8072377670005</v>
      </c>
      <c r="Y114" s="96">
        <v>5408.7120865179995</v>
      </c>
      <c r="Z114" s="113">
        <v>22.04303563625254</v>
      </c>
      <c r="AA114" s="96">
        <v>65296.136475086016</v>
      </c>
      <c r="AB114" s="96">
        <v>42089.568227821008</v>
      </c>
      <c r="AC114" s="113">
        <v>-35.540492133281973</v>
      </c>
      <c r="AD114" s="113">
        <v>1.1057619834519223</v>
      </c>
      <c r="AE114" s="113"/>
      <c r="AF114" s="113"/>
      <c r="AG114" s="96"/>
      <c r="AH114" s="96"/>
      <c r="AI114" s="113"/>
      <c r="AJ114" s="96"/>
      <c r="AK114" s="96"/>
      <c r="AL114" s="113"/>
      <c r="AM114" s="113"/>
    </row>
    <row r="115" spans="1:39">
      <c r="A115" s="140"/>
      <c r="B115" s="144"/>
      <c r="C115" s="104"/>
      <c r="D115" s="104"/>
      <c r="E115" s="113"/>
      <c r="F115" s="104"/>
      <c r="G115" s="104"/>
      <c r="H115" s="113"/>
      <c r="I115" s="110"/>
      <c r="J115" s="103"/>
      <c r="K115" s="103"/>
      <c r="L115" s="113"/>
      <c r="M115" s="103"/>
      <c r="N115" s="103"/>
      <c r="O115" s="113"/>
      <c r="P115" s="113"/>
      <c r="Q115" s="103"/>
      <c r="R115" s="103"/>
      <c r="S115" s="113"/>
      <c r="T115" s="103"/>
      <c r="U115" s="103"/>
      <c r="V115" s="113"/>
      <c r="W115" s="113"/>
      <c r="X115" s="96"/>
      <c r="Y115" s="96"/>
      <c r="Z115" s="113"/>
      <c r="AA115" s="96"/>
      <c r="AB115" s="96"/>
      <c r="AC115" s="113"/>
      <c r="AD115" s="113"/>
      <c r="AE115" s="113"/>
      <c r="AF115" s="113"/>
      <c r="AG115" s="96"/>
      <c r="AH115" s="96"/>
      <c r="AI115" s="113"/>
      <c r="AJ115" s="96"/>
      <c r="AK115" s="96"/>
      <c r="AL115" s="113"/>
      <c r="AM115" s="113"/>
    </row>
    <row r="116" spans="1:39" s="138" customFormat="1" ht="15">
      <c r="A116" s="13">
        <v>17</v>
      </c>
      <c r="B116" s="139" t="s">
        <v>98</v>
      </c>
      <c r="C116" s="101">
        <v>915.74574258599932</v>
      </c>
      <c r="D116" s="101">
        <v>996.39557444100319</v>
      </c>
      <c r="E116" s="110">
        <v>8.8070113902200209</v>
      </c>
      <c r="F116" s="101">
        <v>7882.5307175089993</v>
      </c>
      <c r="G116" s="101">
        <v>9085.7708393299999</v>
      </c>
      <c r="H116" s="110">
        <v>15.264642345742008</v>
      </c>
      <c r="I116" s="110">
        <v>2.9700594129358264</v>
      </c>
      <c r="J116" s="102">
        <v>78805</v>
      </c>
      <c r="K116" s="102">
        <v>76622</v>
      </c>
      <c r="L116" s="110">
        <v>-2.7701287989340795</v>
      </c>
      <c r="M116" s="101">
        <v>538596</v>
      </c>
      <c r="N116" s="101">
        <v>618334</v>
      </c>
      <c r="O116" s="110">
        <v>14.804788747038589</v>
      </c>
      <c r="P116" s="110">
        <v>2.9830984897609798</v>
      </c>
      <c r="Q116" s="102">
        <v>623699</v>
      </c>
      <c r="R116" s="102">
        <v>380070</v>
      </c>
      <c r="S116" s="110">
        <v>-39.061951357946697</v>
      </c>
      <c r="T116" s="102">
        <v>5814299</v>
      </c>
      <c r="U116" s="102">
        <v>4363288</v>
      </c>
      <c r="V116" s="110">
        <v>-24.955906120411075</v>
      </c>
      <c r="W116" s="110">
        <v>2.0375038846839395</v>
      </c>
      <c r="X116" s="101">
        <v>43543.740761900001</v>
      </c>
      <c r="Y116" s="101">
        <v>44825.407660695069</v>
      </c>
      <c r="Z116" s="110">
        <v>2.9434009948830608</v>
      </c>
      <c r="AA116" s="101">
        <v>394483.32433880004</v>
      </c>
      <c r="AB116" s="101">
        <v>442780.75403314998</v>
      </c>
      <c r="AC116" s="110">
        <v>12.243211997693958</v>
      </c>
      <c r="AD116" s="110">
        <v>5.2775447086893603</v>
      </c>
      <c r="AE116" s="110"/>
      <c r="AF116" s="110"/>
      <c r="AG116" s="101"/>
      <c r="AH116" s="101"/>
      <c r="AI116" s="110"/>
      <c r="AJ116" s="101"/>
      <c r="AK116" s="101"/>
      <c r="AL116" s="110"/>
      <c r="AM116" s="110"/>
    </row>
    <row r="117" spans="1:39">
      <c r="A117" s="140"/>
      <c r="B117" s="141" t="s">
        <v>79</v>
      </c>
      <c r="C117" s="96">
        <v>179.66420759999997</v>
      </c>
      <c r="D117" s="96">
        <v>201.53812223600039</v>
      </c>
      <c r="E117" s="113">
        <v>12.174887212204212</v>
      </c>
      <c r="F117" s="96">
        <v>1752.9176848</v>
      </c>
      <c r="G117" s="96">
        <v>1969.3542107820001</v>
      </c>
      <c r="H117" s="113">
        <v>12.347215608512418</v>
      </c>
      <c r="I117" s="113">
        <v>4.96907156110926</v>
      </c>
      <c r="J117" s="103">
        <v>1114</v>
      </c>
      <c r="K117" s="103">
        <v>1392</v>
      </c>
      <c r="L117" s="113">
        <v>24.955116696588874</v>
      </c>
      <c r="M117" s="103">
        <v>9831</v>
      </c>
      <c r="N117" s="103">
        <v>12454</v>
      </c>
      <c r="O117" s="113">
        <v>26.680907333943637</v>
      </c>
      <c r="P117" s="113">
        <v>1.189883600835804</v>
      </c>
      <c r="Q117" s="103"/>
      <c r="R117" s="103"/>
      <c r="S117" s="113" t="s">
        <v>126</v>
      </c>
      <c r="T117" s="103"/>
      <c r="U117" s="103"/>
      <c r="V117" s="113" t="s">
        <v>126</v>
      </c>
      <c r="W117" s="113" t="s">
        <v>126</v>
      </c>
      <c r="X117" s="96">
        <v>199.69206929999996</v>
      </c>
      <c r="Y117" s="96">
        <v>199.05920166299714</v>
      </c>
      <c r="Z117" s="113">
        <v>-0.31692176821106477</v>
      </c>
      <c r="AA117" s="96">
        <v>2110.8080344999998</v>
      </c>
      <c r="AB117" s="96">
        <v>2082.3254924859993</v>
      </c>
      <c r="AC117" s="113">
        <v>-1.3493667613761584</v>
      </c>
      <c r="AD117" s="113">
        <v>6.616979311057392</v>
      </c>
      <c r="AE117" s="113"/>
      <c r="AF117" s="113"/>
      <c r="AG117" s="96"/>
      <c r="AH117" s="96"/>
      <c r="AI117" s="113"/>
      <c r="AJ117" s="96"/>
      <c r="AK117" s="96"/>
      <c r="AL117" s="113"/>
      <c r="AM117" s="113"/>
    </row>
    <row r="118" spans="1:39">
      <c r="A118" s="140"/>
      <c r="B118" s="141" t="s">
        <v>80</v>
      </c>
      <c r="C118" s="96">
        <v>586.41649719999975</v>
      </c>
      <c r="D118" s="96">
        <v>667.7898040510031</v>
      </c>
      <c r="E118" s="113">
        <v>13.876367264485513</v>
      </c>
      <c r="F118" s="96">
        <v>4714.5592410999998</v>
      </c>
      <c r="G118" s="96">
        <v>5843.2956103180004</v>
      </c>
      <c r="H118" s="113">
        <v>23.941503574248092</v>
      </c>
      <c r="I118" s="113">
        <v>6.5646095092871848</v>
      </c>
      <c r="J118" s="103">
        <v>77672</v>
      </c>
      <c r="K118" s="103">
        <v>75202</v>
      </c>
      <c r="L118" s="113">
        <v>-3.180039138943247</v>
      </c>
      <c r="M118" s="103">
        <v>528353</v>
      </c>
      <c r="N118" s="103">
        <v>605533</v>
      </c>
      <c r="O118" s="113">
        <v>14.607658137646617</v>
      </c>
      <c r="P118" s="113">
        <v>3.0820540070626343</v>
      </c>
      <c r="Q118" s="103"/>
      <c r="R118" s="103"/>
      <c r="S118" s="113" t="s">
        <v>126</v>
      </c>
      <c r="T118" s="103"/>
      <c r="U118" s="103"/>
      <c r="V118" s="113" t="s">
        <v>126</v>
      </c>
      <c r="W118" s="113" t="s">
        <v>126</v>
      </c>
      <c r="X118" s="96">
        <v>28564.957296899986</v>
      </c>
      <c r="Y118" s="96">
        <v>33921.789321932076</v>
      </c>
      <c r="Z118" s="113">
        <v>18.753159577148892</v>
      </c>
      <c r="AA118" s="96">
        <v>220653.62256069999</v>
      </c>
      <c r="AB118" s="96">
        <v>291963.37097156397</v>
      </c>
      <c r="AC118" s="113">
        <v>32.317506317507785</v>
      </c>
      <c r="AD118" s="113">
        <v>11.020260149667505</v>
      </c>
      <c r="AE118" s="113"/>
      <c r="AF118" s="113"/>
      <c r="AG118" s="96"/>
      <c r="AH118" s="96"/>
      <c r="AI118" s="113"/>
      <c r="AJ118" s="96"/>
      <c r="AK118" s="96"/>
      <c r="AL118" s="113"/>
      <c r="AM118" s="113"/>
    </row>
    <row r="119" spans="1:39">
      <c r="A119" s="140"/>
      <c r="B119" s="141" t="s">
        <v>81</v>
      </c>
      <c r="C119" s="96">
        <v>139.8983514479996</v>
      </c>
      <c r="D119" s="96">
        <v>122.41115463799977</v>
      </c>
      <c r="E119" s="113">
        <v>-12.499930577452044</v>
      </c>
      <c r="F119" s="96">
        <v>1252.5625744409997</v>
      </c>
      <c r="G119" s="96">
        <v>1166.7026406149996</v>
      </c>
      <c r="H119" s="113">
        <v>-6.8547420766038814</v>
      </c>
      <c r="I119" s="113">
        <v>0.71155413020368563</v>
      </c>
      <c r="J119" s="103">
        <v>4</v>
      </c>
      <c r="K119" s="103">
        <v>3</v>
      </c>
      <c r="L119" s="113">
        <v>-25</v>
      </c>
      <c r="M119" s="103">
        <v>64</v>
      </c>
      <c r="N119" s="103">
        <v>55</v>
      </c>
      <c r="O119" s="113">
        <v>-14.0625</v>
      </c>
      <c r="P119" s="113">
        <v>2.0400593471810091</v>
      </c>
      <c r="Q119" s="103">
        <v>603518</v>
      </c>
      <c r="R119" s="103">
        <v>350990</v>
      </c>
      <c r="S119" s="113">
        <v>-41.842662522078875</v>
      </c>
      <c r="T119" s="103">
        <v>4980061</v>
      </c>
      <c r="U119" s="103">
        <v>3853160</v>
      </c>
      <c r="V119" s="113">
        <v>-22.628256963117522</v>
      </c>
      <c r="W119" s="113">
        <v>3.032810936222603</v>
      </c>
      <c r="X119" s="96">
        <v>7740.495956099996</v>
      </c>
      <c r="Y119" s="96">
        <v>7259.3872160999999</v>
      </c>
      <c r="Z119" s="113">
        <v>-6.2154769245871382</v>
      </c>
      <c r="AA119" s="96">
        <v>58348.286022499997</v>
      </c>
      <c r="AB119" s="96">
        <v>71127.77831519999</v>
      </c>
      <c r="AC119" s="113">
        <v>21.902086871535566</v>
      </c>
      <c r="AD119" s="113">
        <v>3.9270053687584223</v>
      </c>
      <c r="AE119" s="113"/>
      <c r="AF119" s="113"/>
      <c r="AG119" s="96"/>
      <c r="AH119" s="96"/>
      <c r="AI119" s="113"/>
      <c r="AJ119" s="96"/>
      <c r="AK119" s="96"/>
      <c r="AL119" s="113"/>
      <c r="AM119" s="113"/>
    </row>
    <row r="120" spans="1:39" s="146" customFormat="1">
      <c r="A120" s="140"/>
      <c r="B120" s="141" t="s">
        <v>82</v>
      </c>
      <c r="C120" s="96">
        <v>0</v>
      </c>
      <c r="D120" s="96">
        <v>0</v>
      </c>
      <c r="E120" s="113" t="s">
        <v>126</v>
      </c>
      <c r="F120" s="96">
        <v>0</v>
      </c>
      <c r="G120" s="96">
        <v>0</v>
      </c>
      <c r="H120" s="113" t="s">
        <v>126</v>
      </c>
      <c r="I120" s="113">
        <v>0</v>
      </c>
      <c r="J120" s="103">
        <v>0</v>
      </c>
      <c r="K120" s="103">
        <v>0</v>
      </c>
      <c r="L120" s="113" t="s">
        <v>126</v>
      </c>
      <c r="M120" s="103">
        <v>0</v>
      </c>
      <c r="N120" s="103">
        <v>0</v>
      </c>
      <c r="O120" s="113" t="s">
        <v>126</v>
      </c>
      <c r="P120" s="113">
        <v>0</v>
      </c>
      <c r="Q120" s="106">
        <v>0</v>
      </c>
      <c r="R120" s="106">
        <v>0</v>
      </c>
      <c r="S120" s="113" t="s">
        <v>126</v>
      </c>
      <c r="T120" s="106">
        <v>0</v>
      </c>
      <c r="U120" s="106">
        <v>0</v>
      </c>
      <c r="V120" s="113" t="s">
        <v>126</v>
      </c>
      <c r="W120" s="113">
        <v>0</v>
      </c>
      <c r="X120" s="96">
        <v>0</v>
      </c>
      <c r="Y120" s="96">
        <v>0</v>
      </c>
      <c r="Z120" s="113" t="s">
        <v>126</v>
      </c>
      <c r="AA120" s="96">
        <v>0</v>
      </c>
      <c r="AB120" s="96">
        <v>0</v>
      </c>
      <c r="AC120" s="113" t="s">
        <v>126</v>
      </c>
      <c r="AD120" s="113">
        <v>0</v>
      </c>
      <c r="AE120" s="113"/>
      <c r="AF120" s="113"/>
      <c r="AG120" s="96"/>
      <c r="AH120" s="96"/>
      <c r="AI120" s="113"/>
      <c r="AJ120" s="96"/>
      <c r="AK120" s="96"/>
      <c r="AL120" s="113"/>
      <c r="AM120" s="113"/>
    </row>
    <row r="121" spans="1:39" s="146" customFormat="1" ht="15">
      <c r="A121" s="140"/>
      <c r="B121" s="142" t="s">
        <v>83</v>
      </c>
      <c r="C121" s="96">
        <v>9.7666863380000013</v>
      </c>
      <c r="D121" s="96">
        <v>4.6564935160000003</v>
      </c>
      <c r="E121" s="113">
        <v>-52.322688014637862</v>
      </c>
      <c r="F121" s="96">
        <v>162.49121716799996</v>
      </c>
      <c r="G121" s="96">
        <v>106.418377615</v>
      </c>
      <c r="H121" s="113">
        <v>-34.508227909343645</v>
      </c>
      <c r="I121" s="113">
        <v>0.95420061733547146</v>
      </c>
      <c r="J121" s="103">
        <v>15</v>
      </c>
      <c r="K121" s="103">
        <v>25</v>
      </c>
      <c r="L121" s="113">
        <v>66.666666666666671</v>
      </c>
      <c r="M121" s="103">
        <v>348</v>
      </c>
      <c r="N121" s="103">
        <v>292</v>
      </c>
      <c r="O121" s="113">
        <v>-16.09195402298851</v>
      </c>
      <c r="P121" s="113">
        <v>1.0616251590619887</v>
      </c>
      <c r="Q121" s="106">
        <v>20181</v>
      </c>
      <c r="R121" s="106">
        <v>29080</v>
      </c>
      <c r="S121" s="113">
        <v>44.095931817055643</v>
      </c>
      <c r="T121" s="106">
        <v>834238</v>
      </c>
      <c r="U121" s="106">
        <v>510128</v>
      </c>
      <c r="V121" s="113">
        <v>-38.851023329073954</v>
      </c>
      <c r="W121" s="113">
        <v>0.645763189875313</v>
      </c>
      <c r="X121" s="96">
        <v>7038.5954396000152</v>
      </c>
      <c r="Y121" s="96">
        <v>3445.1719209999974</v>
      </c>
      <c r="Z121" s="113">
        <v>-51.053133390547913</v>
      </c>
      <c r="AA121" s="96">
        <v>113370.60772110001</v>
      </c>
      <c r="AB121" s="96">
        <v>77607.279253899993</v>
      </c>
      <c r="AC121" s="113">
        <v>-31.545503006546827</v>
      </c>
      <c r="AD121" s="113">
        <v>2.0388705004908139</v>
      </c>
      <c r="AE121" s="113"/>
      <c r="AF121" s="113"/>
      <c r="AG121" s="96"/>
      <c r="AH121" s="96"/>
      <c r="AI121" s="113"/>
      <c r="AJ121" s="96"/>
      <c r="AK121" s="96"/>
      <c r="AL121" s="113"/>
      <c r="AM121" s="113"/>
    </row>
    <row r="122" spans="1:39" s="146" customFormat="1">
      <c r="A122" s="140"/>
      <c r="B122" s="144"/>
      <c r="C122" s="104"/>
      <c r="D122" s="104"/>
      <c r="E122" s="113"/>
      <c r="F122" s="104"/>
      <c r="G122" s="104"/>
      <c r="H122" s="113"/>
      <c r="I122" s="110"/>
      <c r="J122" s="103"/>
      <c r="K122" s="103"/>
      <c r="L122" s="113"/>
      <c r="M122" s="103"/>
      <c r="N122" s="103"/>
      <c r="O122" s="113"/>
      <c r="P122" s="113"/>
      <c r="Q122" s="103"/>
      <c r="R122" s="103"/>
      <c r="S122" s="113"/>
      <c r="T122" s="103"/>
      <c r="U122" s="103"/>
      <c r="V122" s="113"/>
      <c r="W122" s="113"/>
      <c r="X122" s="96"/>
      <c r="Y122" s="96"/>
      <c r="Z122" s="113"/>
      <c r="AA122" s="96"/>
      <c r="AB122" s="96"/>
      <c r="AC122" s="113"/>
      <c r="AD122" s="113"/>
      <c r="AE122" s="113"/>
      <c r="AF122" s="113"/>
      <c r="AG122" s="96"/>
      <c r="AH122" s="96"/>
      <c r="AI122" s="113"/>
      <c r="AJ122" s="96"/>
      <c r="AK122" s="96"/>
      <c r="AL122" s="113"/>
      <c r="AM122" s="113"/>
    </row>
    <row r="123" spans="1:39" s="145" customFormat="1" ht="15">
      <c r="A123" s="13">
        <v>18</v>
      </c>
      <c r="B123" s="139" t="s">
        <v>99</v>
      </c>
      <c r="C123" s="101">
        <v>295.26194029999994</v>
      </c>
      <c r="D123" s="101">
        <v>367.22642230000002</v>
      </c>
      <c r="E123" s="110">
        <v>24.373097977640068</v>
      </c>
      <c r="F123" s="101">
        <v>2522.9150086449999</v>
      </c>
      <c r="G123" s="101">
        <v>3668.6036991460082</v>
      </c>
      <c r="H123" s="110">
        <v>45.411307419203609</v>
      </c>
      <c r="I123" s="110">
        <v>1.1992346209981322</v>
      </c>
      <c r="J123" s="102">
        <v>21708</v>
      </c>
      <c r="K123" s="102">
        <v>20020</v>
      </c>
      <c r="L123" s="110">
        <v>-7.7759351391192162</v>
      </c>
      <c r="M123" s="101">
        <v>217999</v>
      </c>
      <c r="N123" s="101">
        <v>239491</v>
      </c>
      <c r="O123" s="110">
        <v>9.8587608200037646</v>
      </c>
      <c r="P123" s="110">
        <v>1.1554034557558646</v>
      </c>
      <c r="Q123" s="102">
        <v>180724</v>
      </c>
      <c r="R123" s="102">
        <v>75824</v>
      </c>
      <c r="S123" s="110">
        <v>-58.044310661561283</v>
      </c>
      <c r="T123" s="102">
        <v>1327479</v>
      </c>
      <c r="U123" s="102">
        <v>888743</v>
      </c>
      <c r="V123" s="110">
        <v>-33.050315673543608</v>
      </c>
      <c r="W123" s="110">
        <v>0.41501209981684872</v>
      </c>
      <c r="X123" s="101">
        <v>20458.408530200002</v>
      </c>
      <c r="Y123" s="101">
        <v>9910.9128136999989</v>
      </c>
      <c r="Z123" s="110">
        <v>-51.555797709925244</v>
      </c>
      <c r="AA123" s="101">
        <v>112378.04040910001</v>
      </c>
      <c r="AB123" s="101">
        <v>109595.2899919</v>
      </c>
      <c r="AC123" s="110">
        <v>-2.4762403820797196</v>
      </c>
      <c r="AD123" s="110">
        <v>1.3062763851536439</v>
      </c>
      <c r="AE123" s="110"/>
      <c r="AF123" s="110"/>
      <c r="AG123" s="101"/>
      <c r="AH123" s="101"/>
      <c r="AI123" s="110"/>
      <c r="AJ123" s="101"/>
      <c r="AK123" s="101"/>
      <c r="AL123" s="110"/>
      <c r="AM123" s="110"/>
    </row>
    <row r="124" spans="1:39" s="146" customFormat="1">
      <c r="A124" s="140"/>
      <c r="B124" s="141" t="s">
        <v>79</v>
      </c>
      <c r="C124" s="96">
        <v>7.4909221000000006</v>
      </c>
      <c r="D124" s="96">
        <v>101.02119130000001</v>
      </c>
      <c r="E124" s="113">
        <v>1248.581522426992</v>
      </c>
      <c r="F124" s="96">
        <v>66.329142996000002</v>
      </c>
      <c r="G124" s="96">
        <v>736.0977494</v>
      </c>
      <c r="H124" s="113">
        <v>1009.7652044809181</v>
      </c>
      <c r="I124" s="113">
        <v>1.8573207261113511</v>
      </c>
      <c r="J124" s="103">
        <v>121</v>
      </c>
      <c r="K124" s="103">
        <v>1926</v>
      </c>
      <c r="L124" s="113">
        <v>1491.7355371900828</v>
      </c>
      <c r="M124" s="103">
        <v>1136</v>
      </c>
      <c r="N124" s="103">
        <v>17303</v>
      </c>
      <c r="O124" s="113">
        <v>1423.1514084507041</v>
      </c>
      <c r="P124" s="113">
        <v>1.653168134355381</v>
      </c>
      <c r="Q124" s="103"/>
      <c r="R124" s="103"/>
      <c r="S124" s="113" t="s">
        <v>126</v>
      </c>
      <c r="T124" s="103"/>
      <c r="U124" s="103"/>
      <c r="V124" s="113" t="s">
        <v>126</v>
      </c>
      <c r="W124" s="113" t="s">
        <v>126</v>
      </c>
      <c r="X124" s="96">
        <v>5.4707628999999995</v>
      </c>
      <c r="Y124" s="96">
        <v>102.09334949999999</v>
      </c>
      <c r="Z124" s="113">
        <v>1766.1629349720126</v>
      </c>
      <c r="AA124" s="96">
        <v>47.285497599999999</v>
      </c>
      <c r="AB124" s="96">
        <v>1104.1093657000001</v>
      </c>
      <c r="AC124" s="113">
        <v>2234.9851894124936</v>
      </c>
      <c r="AD124" s="113">
        <v>3.5085143299376487</v>
      </c>
      <c r="AE124" s="113"/>
      <c r="AF124" s="113"/>
      <c r="AG124" s="96"/>
      <c r="AH124" s="96"/>
      <c r="AI124" s="113"/>
      <c r="AJ124" s="96"/>
      <c r="AK124" s="96"/>
      <c r="AL124" s="113"/>
      <c r="AM124" s="113"/>
    </row>
    <row r="125" spans="1:39" s="146" customFormat="1">
      <c r="A125" s="140"/>
      <c r="B125" s="141" t="s">
        <v>80</v>
      </c>
      <c r="C125" s="96">
        <v>193.84940429999997</v>
      </c>
      <c r="D125" s="96">
        <v>201.82724150000001</v>
      </c>
      <c r="E125" s="113">
        <v>4.1154819272251064</v>
      </c>
      <c r="F125" s="96">
        <v>1701.1283919289997</v>
      </c>
      <c r="G125" s="96">
        <v>1758.4464254999998</v>
      </c>
      <c r="H125" s="113">
        <v>3.3694125524531549</v>
      </c>
      <c r="I125" s="113">
        <v>1.9755143152480596</v>
      </c>
      <c r="J125" s="103">
        <v>21584</v>
      </c>
      <c r="K125" s="103">
        <v>18091</v>
      </c>
      <c r="L125" s="113">
        <v>-16.183283914010381</v>
      </c>
      <c r="M125" s="103">
        <v>216830</v>
      </c>
      <c r="N125" s="103">
        <v>222108</v>
      </c>
      <c r="O125" s="113">
        <v>2.4341650140663251</v>
      </c>
      <c r="P125" s="113">
        <v>1.1304897526652842</v>
      </c>
      <c r="Q125" s="103"/>
      <c r="R125" s="103"/>
      <c r="S125" s="113" t="s">
        <v>126</v>
      </c>
      <c r="T125" s="103"/>
      <c r="U125" s="103"/>
      <c r="V125" s="113" t="s">
        <v>126</v>
      </c>
      <c r="W125" s="113" t="s">
        <v>126</v>
      </c>
      <c r="X125" s="96">
        <v>2707.8227719999995</v>
      </c>
      <c r="Y125" s="96">
        <v>2255.7400193999997</v>
      </c>
      <c r="Z125" s="113">
        <v>-16.695433588738574</v>
      </c>
      <c r="AA125" s="96">
        <v>27110.735161500001</v>
      </c>
      <c r="AB125" s="96">
        <v>23291.366415200002</v>
      </c>
      <c r="AC125" s="113">
        <v>-14.088030898269</v>
      </c>
      <c r="AD125" s="113">
        <v>0.87914081921506515</v>
      </c>
      <c r="AE125" s="113"/>
      <c r="AF125" s="113"/>
      <c r="AG125" s="96"/>
      <c r="AH125" s="96"/>
      <c r="AI125" s="113"/>
      <c r="AJ125" s="96"/>
      <c r="AK125" s="96"/>
      <c r="AL125" s="113"/>
      <c r="AM125" s="113"/>
    </row>
    <row r="126" spans="1:39" s="150" customFormat="1">
      <c r="A126" s="149"/>
      <c r="B126" s="141" t="s">
        <v>81</v>
      </c>
      <c r="C126" s="96">
        <v>57.384610599999995</v>
      </c>
      <c r="D126" s="96">
        <v>58.070336700000006</v>
      </c>
      <c r="E126" s="113">
        <v>1.1949651532531469</v>
      </c>
      <c r="F126" s="96">
        <v>671.98892048100015</v>
      </c>
      <c r="G126" s="96">
        <v>1116.8557538340083</v>
      </c>
      <c r="H126" s="113">
        <v>66.201513119379825</v>
      </c>
      <c r="I126" s="113">
        <v>0.68115327489396138</v>
      </c>
      <c r="J126" s="103">
        <v>1</v>
      </c>
      <c r="K126" s="103">
        <v>3</v>
      </c>
      <c r="L126" s="113">
        <v>200</v>
      </c>
      <c r="M126" s="103">
        <v>24</v>
      </c>
      <c r="N126" s="103">
        <v>78</v>
      </c>
      <c r="O126" s="113">
        <v>225</v>
      </c>
      <c r="P126" s="113">
        <v>2.8931750741839761</v>
      </c>
      <c r="Q126" s="103">
        <v>67925</v>
      </c>
      <c r="R126" s="103">
        <v>39713</v>
      </c>
      <c r="S126" s="113">
        <v>-41.534044902465951</v>
      </c>
      <c r="T126" s="103">
        <v>850413</v>
      </c>
      <c r="U126" s="103">
        <v>516071</v>
      </c>
      <c r="V126" s="113">
        <v>-39.31525035482759</v>
      </c>
      <c r="W126" s="113">
        <v>0.40619797067013436</v>
      </c>
      <c r="X126" s="96">
        <v>2411.0063124999997</v>
      </c>
      <c r="Y126" s="96">
        <v>2248.5349999</v>
      </c>
      <c r="Z126" s="113">
        <v>-6.738734434566096</v>
      </c>
      <c r="AA126" s="96">
        <v>27206.452942999997</v>
      </c>
      <c r="AB126" s="96">
        <v>24349.4617894</v>
      </c>
      <c r="AC126" s="113">
        <v>-10.501152647813573</v>
      </c>
      <c r="AD126" s="113">
        <v>1.3443477279666107</v>
      </c>
      <c r="AE126" s="113"/>
      <c r="AF126" s="113"/>
      <c r="AG126" s="96"/>
      <c r="AH126" s="96"/>
      <c r="AI126" s="113"/>
      <c r="AJ126" s="96"/>
      <c r="AK126" s="96"/>
      <c r="AL126" s="113"/>
      <c r="AM126" s="113"/>
    </row>
    <row r="127" spans="1:39" s="146" customFormat="1">
      <c r="A127" s="140"/>
      <c r="B127" s="141" t="s">
        <v>82</v>
      </c>
      <c r="C127" s="96">
        <v>3.0831499999999998E-2</v>
      </c>
      <c r="D127" s="96">
        <v>3.3473299999999998E-2</v>
      </c>
      <c r="E127" s="113">
        <v>8.5685094789419871</v>
      </c>
      <c r="F127" s="96">
        <v>0.21400199999999997</v>
      </c>
      <c r="G127" s="96">
        <v>0.37967779999999995</v>
      </c>
      <c r="H127" s="113">
        <v>77.417874599302806</v>
      </c>
      <c r="I127" s="113">
        <v>1.7661556411927314E-2</v>
      </c>
      <c r="J127" s="103">
        <v>0</v>
      </c>
      <c r="K127" s="103">
        <v>0</v>
      </c>
      <c r="L127" s="113" t="s">
        <v>126</v>
      </c>
      <c r="M127" s="103">
        <v>0</v>
      </c>
      <c r="N127" s="103">
        <v>0</v>
      </c>
      <c r="O127" s="113" t="s">
        <v>126</v>
      </c>
      <c r="P127" s="113">
        <v>0</v>
      </c>
      <c r="Q127" s="106">
        <v>135</v>
      </c>
      <c r="R127" s="106">
        <v>15</v>
      </c>
      <c r="S127" s="113">
        <v>-88.888888888888886</v>
      </c>
      <c r="T127" s="106">
        <v>216</v>
      </c>
      <c r="U127" s="106">
        <v>135</v>
      </c>
      <c r="V127" s="113">
        <v>-37.5</v>
      </c>
      <c r="W127" s="113">
        <v>1.6659628487816628E-3</v>
      </c>
      <c r="X127" s="96">
        <v>3.2532000000000005</v>
      </c>
      <c r="Y127" s="96">
        <v>5.2697000000000003</v>
      </c>
      <c r="Z127" s="113">
        <v>61.985122341079531</v>
      </c>
      <c r="AA127" s="96">
        <v>28.074418999999999</v>
      </c>
      <c r="AB127" s="96">
        <v>50.824170199999998</v>
      </c>
      <c r="AC127" s="113">
        <v>81.033738222685912</v>
      </c>
      <c r="AD127" s="113">
        <v>5.5566721548973047E-2</v>
      </c>
      <c r="AE127" s="113"/>
      <c r="AF127" s="113"/>
      <c r="AG127" s="96"/>
      <c r="AH127" s="96"/>
      <c r="AI127" s="113"/>
      <c r="AJ127" s="96"/>
      <c r="AK127" s="96"/>
      <c r="AL127" s="113"/>
      <c r="AM127" s="113"/>
    </row>
    <row r="128" spans="1:39" s="146" customFormat="1" ht="15">
      <c r="A128" s="140"/>
      <c r="B128" s="142" t="s">
        <v>83</v>
      </c>
      <c r="C128" s="96">
        <v>36.506171800000004</v>
      </c>
      <c r="D128" s="96">
        <v>6.2741794999999998</v>
      </c>
      <c r="E128" s="113">
        <v>-82.813373217073391</v>
      </c>
      <c r="F128" s="96">
        <v>83.254551238999994</v>
      </c>
      <c r="G128" s="96">
        <v>56.824092612000015</v>
      </c>
      <c r="H128" s="113">
        <v>-31.746563081128976</v>
      </c>
      <c r="I128" s="113">
        <v>0.50951335159478806</v>
      </c>
      <c r="J128" s="103">
        <v>2</v>
      </c>
      <c r="K128" s="103">
        <v>0</v>
      </c>
      <c r="L128" s="113">
        <v>-100</v>
      </c>
      <c r="M128" s="103">
        <v>9</v>
      </c>
      <c r="N128" s="103">
        <v>2</v>
      </c>
      <c r="O128" s="113">
        <v>-77.777777777777786</v>
      </c>
      <c r="P128" s="113">
        <v>7.271405199054717E-3</v>
      </c>
      <c r="Q128" s="106">
        <v>112664</v>
      </c>
      <c r="R128" s="106">
        <v>36096</v>
      </c>
      <c r="S128" s="113">
        <v>-67.961371866789747</v>
      </c>
      <c r="T128" s="106">
        <v>476850</v>
      </c>
      <c r="U128" s="106">
        <v>372537</v>
      </c>
      <c r="V128" s="113">
        <v>-21.875432525951556</v>
      </c>
      <c r="W128" s="113">
        <v>0.47158885900515063</v>
      </c>
      <c r="X128" s="96">
        <v>15330.855482800001</v>
      </c>
      <c r="Y128" s="96">
        <v>5299.274744899999</v>
      </c>
      <c r="Z128" s="113">
        <v>-65.43392669218386</v>
      </c>
      <c r="AA128" s="96">
        <v>57985.492388000006</v>
      </c>
      <c r="AB128" s="96">
        <v>60799.528251400006</v>
      </c>
      <c r="AC128" s="113">
        <v>4.8529998582582667</v>
      </c>
      <c r="AD128" s="113">
        <v>1.5973033172569033</v>
      </c>
      <c r="AE128" s="113"/>
      <c r="AF128" s="113"/>
      <c r="AG128" s="96"/>
      <c r="AH128" s="96"/>
      <c r="AI128" s="113"/>
      <c r="AJ128" s="96"/>
      <c r="AK128" s="96"/>
      <c r="AL128" s="113"/>
      <c r="AM128" s="113"/>
    </row>
    <row r="129" spans="1:39" s="146" customFormat="1">
      <c r="A129" s="140"/>
      <c r="B129" s="144"/>
      <c r="C129" s="104"/>
      <c r="D129" s="104"/>
      <c r="E129" s="113"/>
      <c r="F129" s="104"/>
      <c r="G129" s="104"/>
      <c r="H129" s="113"/>
      <c r="I129" s="110"/>
      <c r="J129" s="103"/>
      <c r="K129" s="103"/>
      <c r="L129" s="113"/>
      <c r="M129" s="103"/>
      <c r="N129" s="103"/>
      <c r="O129" s="113"/>
      <c r="P129" s="113"/>
      <c r="Q129" s="103"/>
      <c r="R129" s="103"/>
      <c r="S129" s="113"/>
      <c r="T129" s="103"/>
      <c r="U129" s="103"/>
      <c r="V129" s="113"/>
      <c r="W129" s="113"/>
      <c r="X129" s="96"/>
      <c r="Y129" s="96"/>
      <c r="Z129" s="113"/>
      <c r="AA129" s="96"/>
      <c r="AB129" s="96"/>
      <c r="AC129" s="113"/>
      <c r="AD129" s="113"/>
      <c r="AE129" s="113"/>
      <c r="AF129" s="113"/>
      <c r="AG129" s="96"/>
      <c r="AH129" s="96"/>
      <c r="AI129" s="113"/>
      <c r="AJ129" s="96"/>
      <c r="AK129" s="96"/>
      <c r="AL129" s="113"/>
      <c r="AM129" s="113"/>
    </row>
    <row r="130" spans="1:39" s="145" customFormat="1" ht="15">
      <c r="A130" s="13">
        <v>19</v>
      </c>
      <c r="B130" s="139" t="s">
        <v>100</v>
      </c>
      <c r="C130" s="101">
        <v>96.051747509999984</v>
      </c>
      <c r="D130" s="101">
        <v>118.82565819800001</v>
      </c>
      <c r="E130" s="110">
        <v>23.710043053229235</v>
      </c>
      <c r="F130" s="101">
        <v>851.77341913200007</v>
      </c>
      <c r="G130" s="101">
        <v>972.27422911299936</v>
      </c>
      <c r="H130" s="110">
        <v>14.147049822685908</v>
      </c>
      <c r="I130" s="110">
        <v>0.31782798368981674</v>
      </c>
      <c r="J130" s="102">
        <v>3336</v>
      </c>
      <c r="K130" s="102">
        <v>4234</v>
      </c>
      <c r="L130" s="110">
        <v>26.918465227817755</v>
      </c>
      <c r="M130" s="101">
        <v>28750</v>
      </c>
      <c r="N130" s="101">
        <v>37469</v>
      </c>
      <c r="O130" s="110">
        <v>30.326956521739135</v>
      </c>
      <c r="P130" s="110">
        <v>0.18076592474755415</v>
      </c>
      <c r="Q130" s="102">
        <v>447796</v>
      </c>
      <c r="R130" s="102">
        <v>375690</v>
      </c>
      <c r="S130" s="110">
        <v>-16.102421638424637</v>
      </c>
      <c r="T130" s="102">
        <v>3641779</v>
      </c>
      <c r="U130" s="102">
        <v>3439405</v>
      </c>
      <c r="V130" s="110">
        <v>-5.5570093627317902</v>
      </c>
      <c r="W130" s="110">
        <v>1.606082625877862</v>
      </c>
      <c r="X130" s="101">
        <v>11976.740115799999</v>
      </c>
      <c r="Y130" s="101">
        <v>16172.242293700001</v>
      </c>
      <c r="Z130" s="110">
        <v>35.030418438863805</v>
      </c>
      <c r="AA130" s="101">
        <v>71715.526378499999</v>
      </c>
      <c r="AB130" s="101">
        <v>90160.558962699986</v>
      </c>
      <c r="AC130" s="110">
        <v>25.719720004355608</v>
      </c>
      <c r="AD130" s="110">
        <v>1.0746320307554478</v>
      </c>
      <c r="AE130" s="110"/>
      <c r="AF130" s="110"/>
      <c r="AG130" s="101"/>
      <c r="AH130" s="101"/>
      <c r="AI130" s="110"/>
      <c r="AJ130" s="101"/>
      <c r="AK130" s="101"/>
      <c r="AL130" s="110"/>
      <c r="AM130" s="110"/>
    </row>
    <row r="131" spans="1:39" s="146" customFormat="1">
      <c r="A131" s="140"/>
      <c r="B131" s="141" t="s">
        <v>79</v>
      </c>
      <c r="C131" s="96">
        <v>0.12234170000000001</v>
      </c>
      <c r="D131" s="96">
        <v>0.15689990000000001</v>
      </c>
      <c r="E131" s="113">
        <v>28.247277910965749</v>
      </c>
      <c r="F131" s="96">
        <v>1.1192622999999999</v>
      </c>
      <c r="G131" s="96">
        <v>2.6081994000000002</v>
      </c>
      <c r="H131" s="113">
        <v>133.02843310276779</v>
      </c>
      <c r="I131" s="113">
        <v>6.5810047747052519E-3</v>
      </c>
      <c r="J131" s="103">
        <v>7</v>
      </c>
      <c r="K131" s="103">
        <v>5</v>
      </c>
      <c r="L131" s="113">
        <v>-28.571428571428569</v>
      </c>
      <c r="M131" s="103">
        <v>44</v>
      </c>
      <c r="N131" s="103">
        <v>85</v>
      </c>
      <c r="O131" s="113">
        <v>93.181818181818187</v>
      </c>
      <c r="P131" s="113">
        <v>8.1210941120156838E-3</v>
      </c>
      <c r="Q131" s="103"/>
      <c r="R131" s="103"/>
      <c r="S131" s="113" t="s">
        <v>126</v>
      </c>
      <c r="T131" s="103"/>
      <c r="U131" s="103"/>
      <c r="V131" s="113" t="s">
        <v>126</v>
      </c>
      <c r="W131" s="113" t="s">
        <v>126</v>
      </c>
      <c r="X131" s="96">
        <v>0.28439759999999997</v>
      </c>
      <c r="Y131" s="96">
        <v>0.19462489999999999</v>
      </c>
      <c r="Z131" s="113">
        <v>-31.565913355105668</v>
      </c>
      <c r="AA131" s="96">
        <v>1.8550994000000001</v>
      </c>
      <c r="AB131" s="96">
        <v>3.1845683000000005</v>
      </c>
      <c r="AC131" s="113">
        <v>71.665642283103551</v>
      </c>
      <c r="AD131" s="113">
        <v>1.0119562302717617E-2</v>
      </c>
      <c r="AE131" s="113"/>
      <c r="AF131" s="113"/>
      <c r="AG131" s="96"/>
      <c r="AH131" s="96"/>
      <c r="AI131" s="113"/>
      <c r="AJ131" s="96"/>
      <c r="AK131" s="96"/>
      <c r="AL131" s="113"/>
      <c r="AM131" s="113"/>
    </row>
    <row r="132" spans="1:39" s="146" customFormat="1">
      <c r="A132" s="140"/>
      <c r="B132" s="141" t="s">
        <v>80</v>
      </c>
      <c r="C132" s="96">
        <v>17.256325599999997</v>
      </c>
      <c r="D132" s="96">
        <v>20.930737100000002</v>
      </c>
      <c r="E132" s="113">
        <v>21.293128010982866</v>
      </c>
      <c r="F132" s="96">
        <v>140.70711560000001</v>
      </c>
      <c r="G132" s="96">
        <v>197.92307510000003</v>
      </c>
      <c r="H132" s="113">
        <v>40.663159966019521</v>
      </c>
      <c r="I132" s="113">
        <v>0.22235529186895145</v>
      </c>
      <c r="J132" s="103">
        <v>3312</v>
      </c>
      <c r="K132" s="103">
        <v>4194</v>
      </c>
      <c r="L132" s="113">
        <v>26.630434782608692</v>
      </c>
      <c r="M132" s="103">
        <v>28487</v>
      </c>
      <c r="N132" s="103">
        <v>37165</v>
      </c>
      <c r="O132" s="113">
        <v>30.463018218836659</v>
      </c>
      <c r="P132" s="113">
        <v>0.18916316232555913</v>
      </c>
      <c r="Q132" s="103"/>
      <c r="R132" s="103"/>
      <c r="S132" s="113" t="s">
        <v>126</v>
      </c>
      <c r="T132" s="103"/>
      <c r="U132" s="103"/>
      <c r="V132" s="113" t="s">
        <v>126</v>
      </c>
      <c r="W132" s="113" t="s">
        <v>126</v>
      </c>
      <c r="X132" s="96">
        <v>149.55822790000002</v>
      </c>
      <c r="Y132" s="96">
        <v>197.32409920000001</v>
      </c>
      <c r="Z132" s="113">
        <v>31.937976245571686</v>
      </c>
      <c r="AA132" s="96">
        <v>1272.8192282999998</v>
      </c>
      <c r="AB132" s="96">
        <v>1766.9231063000002</v>
      </c>
      <c r="AC132" s="113">
        <v>38.819642806617118</v>
      </c>
      <c r="AD132" s="113">
        <v>6.6693134248614713E-2</v>
      </c>
      <c r="AE132" s="113"/>
      <c r="AF132" s="113"/>
      <c r="AG132" s="96"/>
      <c r="AH132" s="96"/>
      <c r="AI132" s="113"/>
      <c r="AJ132" s="96"/>
      <c r="AK132" s="96"/>
      <c r="AL132" s="113"/>
      <c r="AM132" s="113"/>
    </row>
    <row r="133" spans="1:39" s="146" customFormat="1">
      <c r="A133" s="140"/>
      <c r="B133" s="141" t="s">
        <v>81</v>
      </c>
      <c r="C133" s="96">
        <v>71.019212285999998</v>
      </c>
      <c r="D133" s="96">
        <v>64.706850091000021</v>
      </c>
      <c r="E133" s="113">
        <v>-8.8882458588523843</v>
      </c>
      <c r="F133" s="96">
        <v>659.6030579610001</v>
      </c>
      <c r="G133" s="96">
        <v>673.11248743199928</v>
      </c>
      <c r="H133" s="113">
        <v>2.048115045548804</v>
      </c>
      <c r="I133" s="113">
        <v>0.41052103068134416</v>
      </c>
      <c r="J133" s="103">
        <v>6</v>
      </c>
      <c r="K133" s="103">
        <v>8</v>
      </c>
      <c r="L133" s="113">
        <v>33.333333333333329</v>
      </c>
      <c r="M133" s="103">
        <v>51</v>
      </c>
      <c r="N133" s="103">
        <v>49</v>
      </c>
      <c r="O133" s="113">
        <v>-3.9215686274509776</v>
      </c>
      <c r="P133" s="113">
        <v>1.8175074183976261</v>
      </c>
      <c r="Q133" s="103">
        <v>437892</v>
      </c>
      <c r="R133" s="103">
        <v>359590</v>
      </c>
      <c r="S133" s="113">
        <v>-17.881578106017002</v>
      </c>
      <c r="T133" s="103">
        <v>3538417</v>
      </c>
      <c r="U133" s="103">
        <v>3356075</v>
      </c>
      <c r="V133" s="113">
        <v>-5.1532083414702061</v>
      </c>
      <c r="W133" s="113">
        <v>2.6415567904741231</v>
      </c>
      <c r="X133" s="96">
        <v>4183.5468714999997</v>
      </c>
      <c r="Y133" s="96">
        <v>3993.1457416000003</v>
      </c>
      <c r="Z133" s="113">
        <v>-4.5511891165147089</v>
      </c>
      <c r="AA133" s="96">
        <v>35625.440697799997</v>
      </c>
      <c r="AB133" s="96">
        <v>37134.830663399996</v>
      </c>
      <c r="AC133" s="113">
        <v>4.2368317023884883</v>
      </c>
      <c r="AD133" s="113">
        <v>2.050235264440182</v>
      </c>
      <c r="AE133" s="113"/>
      <c r="AF133" s="113"/>
      <c r="AG133" s="96"/>
      <c r="AH133" s="96"/>
      <c r="AI133" s="113"/>
      <c r="AJ133" s="96"/>
      <c r="AK133" s="96"/>
      <c r="AL133" s="113"/>
      <c r="AM133" s="113"/>
    </row>
    <row r="134" spans="1:39" s="146" customFormat="1">
      <c r="A134" s="140"/>
      <c r="B134" s="141" t="s">
        <v>82</v>
      </c>
      <c r="C134" s="96">
        <v>0</v>
      </c>
      <c r="D134" s="96">
        <v>0</v>
      </c>
      <c r="E134" s="113" t="s">
        <v>126</v>
      </c>
      <c r="F134" s="96">
        <v>0</v>
      </c>
      <c r="G134" s="96">
        <v>0</v>
      </c>
      <c r="H134" s="113" t="s">
        <v>126</v>
      </c>
      <c r="I134" s="113">
        <v>0</v>
      </c>
      <c r="J134" s="103">
        <v>0</v>
      </c>
      <c r="K134" s="103">
        <v>0</v>
      </c>
      <c r="L134" s="113" t="s">
        <v>126</v>
      </c>
      <c r="M134" s="103">
        <v>0</v>
      </c>
      <c r="N134" s="103">
        <v>0</v>
      </c>
      <c r="O134" s="113" t="s">
        <v>126</v>
      </c>
      <c r="P134" s="113">
        <v>0</v>
      </c>
      <c r="Q134" s="106">
        <v>0</v>
      </c>
      <c r="R134" s="106">
        <v>0</v>
      </c>
      <c r="S134" s="113" t="s">
        <v>126</v>
      </c>
      <c r="T134" s="106">
        <v>0</v>
      </c>
      <c r="U134" s="106">
        <v>0</v>
      </c>
      <c r="V134" s="113" t="s">
        <v>126</v>
      </c>
      <c r="W134" s="113">
        <v>0</v>
      </c>
      <c r="X134" s="96">
        <v>0</v>
      </c>
      <c r="Y134" s="96">
        <v>0</v>
      </c>
      <c r="Z134" s="113" t="s">
        <v>126</v>
      </c>
      <c r="AA134" s="96">
        <v>0</v>
      </c>
      <c r="AB134" s="96">
        <v>0</v>
      </c>
      <c r="AC134" s="113" t="s">
        <v>126</v>
      </c>
      <c r="AD134" s="113">
        <v>0</v>
      </c>
      <c r="AE134" s="113"/>
      <c r="AF134" s="113"/>
      <c r="AG134" s="96"/>
      <c r="AH134" s="96"/>
      <c r="AI134" s="113"/>
      <c r="AJ134" s="96"/>
      <c r="AK134" s="96"/>
      <c r="AL134" s="113"/>
      <c r="AM134" s="113"/>
    </row>
    <row r="135" spans="1:39" s="146" customFormat="1" ht="15">
      <c r="A135" s="140"/>
      <c r="B135" s="142" t="s">
        <v>83</v>
      </c>
      <c r="C135" s="96">
        <v>7.6538679239999974</v>
      </c>
      <c r="D135" s="96">
        <v>33.031171106999999</v>
      </c>
      <c r="E135" s="113">
        <v>331.56181207968291</v>
      </c>
      <c r="F135" s="96">
        <v>50.3439832709999</v>
      </c>
      <c r="G135" s="96">
        <v>98.630467181000043</v>
      </c>
      <c r="H135" s="113">
        <v>95.913117661103001</v>
      </c>
      <c r="I135" s="113">
        <v>0.88437030127144733</v>
      </c>
      <c r="J135" s="103">
        <v>11</v>
      </c>
      <c r="K135" s="103">
        <v>27</v>
      </c>
      <c r="L135" s="113">
        <v>145.45454545454547</v>
      </c>
      <c r="M135" s="103">
        <v>168</v>
      </c>
      <c r="N135" s="103">
        <v>170</v>
      </c>
      <c r="O135" s="113">
        <v>1.1904761904761862</v>
      </c>
      <c r="P135" s="113">
        <v>0.61806944191965096</v>
      </c>
      <c r="Q135" s="106">
        <v>9904</v>
      </c>
      <c r="R135" s="106">
        <v>16100</v>
      </c>
      <c r="S135" s="113">
        <v>62.560581583198704</v>
      </c>
      <c r="T135" s="106">
        <v>103362</v>
      </c>
      <c r="U135" s="106">
        <v>83330</v>
      </c>
      <c r="V135" s="113">
        <v>-19.380429945240994</v>
      </c>
      <c r="W135" s="113">
        <v>0.10548616545712024</v>
      </c>
      <c r="X135" s="96">
        <v>7643.3506188000001</v>
      </c>
      <c r="Y135" s="96">
        <v>11981.577828000001</v>
      </c>
      <c r="Z135" s="113">
        <v>56.758186632567423</v>
      </c>
      <c r="AA135" s="96">
        <v>34815.411353000003</v>
      </c>
      <c r="AB135" s="96">
        <v>51255.620624699994</v>
      </c>
      <c r="AC135" s="113">
        <v>47.221068580835123</v>
      </c>
      <c r="AD135" s="113">
        <v>1.3465692120729482</v>
      </c>
      <c r="AE135" s="113"/>
      <c r="AF135" s="113"/>
      <c r="AG135" s="96"/>
      <c r="AH135" s="96"/>
      <c r="AI135" s="113"/>
      <c r="AJ135" s="96"/>
      <c r="AK135" s="96"/>
      <c r="AL135" s="113"/>
      <c r="AM135" s="113"/>
    </row>
    <row r="136" spans="1:39" s="146" customFormat="1">
      <c r="A136" s="140"/>
      <c r="B136" s="144"/>
      <c r="C136" s="104"/>
      <c r="D136" s="104"/>
      <c r="E136" s="113"/>
      <c r="F136" s="104"/>
      <c r="G136" s="104"/>
      <c r="H136" s="113"/>
      <c r="I136" s="110"/>
      <c r="J136" s="103"/>
      <c r="K136" s="103"/>
      <c r="L136" s="113"/>
      <c r="M136" s="103"/>
      <c r="N136" s="103"/>
      <c r="O136" s="113"/>
      <c r="P136" s="113"/>
      <c r="Q136" s="103"/>
      <c r="R136" s="103"/>
      <c r="S136" s="113"/>
      <c r="T136" s="103"/>
      <c r="U136" s="103"/>
      <c r="V136" s="113"/>
      <c r="W136" s="113"/>
      <c r="X136" s="96"/>
      <c r="Y136" s="96"/>
      <c r="Z136" s="113"/>
      <c r="AA136" s="96"/>
      <c r="AB136" s="96"/>
      <c r="AC136" s="113"/>
      <c r="AD136" s="113"/>
      <c r="AE136" s="113"/>
      <c r="AF136" s="113"/>
      <c r="AG136" s="96"/>
      <c r="AH136" s="96"/>
      <c r="AI136" s="113"/>
      <c r="AJ136" s="96"/>
      <c r="AK136" s="96"/>
      <c r="AL136" s="113"/>
      <c r="AM136" s="113"/>
    </row>
    <row r="137" spans="1:39" s="145" customFormat="1" ht="15">
      <c r="A137" s="13">
        <v>20</v>
      </c>
      <c r="B137" s="151" t="s">
        <v>101</v>
      </c>
      <c r="C137" s="101">
        <v>88.746411585999908</v>
      </c>
      <c r="D137" s="101">
        <v>94.922277149000024</v>
      </c>
      <c r="E137" s="110">
        <v>6.9590031333440328</v>
      </c>
      <c r="F137" s="101">
        <v>909.85009738999997</v>
      </c>
      <c r="G137" s="101">
        <v>906.93532825799991</v>
      </c>
      <c r="H137" s="110">
        <v>-0.3203570720453186</v>
      </c>
      <c r="I137" s="110">
        <v>0.29646926565180137</v>
      </c>
      <c r="J137" s="102">
        <v>13146</v>
      </c>
      <c r="K137" s="102">
        <v>12839</v>
      </c>
      <c r="L137" s="110">
        <v>-2.3353111212536137</v>
      </c>
      <c r="M137" s="101">
        <v>140046</v>
      </c>
      <c r="N137" s="101">
        <v>128187</v>
      </c>
      <c r="O137" s="110">
        <v>-8.4679319652114273</v>
      </c>
      <c r="P137" s="110">
        <v>0.61842700887706437</v>
      </c>
      <c r="Q137" s="102">
        <v>7925</v>
      </c>
      <c r="R137" s="102">
        <v>12531</v>
      </c>
      <c r="S137" s="110">
        <v>58.119873817034694</v>
      </c>
      <c r="T137" s="102">
        <v>229942</v>
      </c>
      <c r="U137" s="102">
        <v>250011</v>
      </c>
      <c r="V137" s="110">
        <v>8.727853110784455</v>
      </c>
      <c r="W137" s="110">
        <v>0.11674644985930711</v>
      </c>
      <c r="X137" s="101">
        <v>1438.6580664999994</v>
      </c>
      <c r="Y137" s="101">
        <v>1670.4723027999994</v>
      </c>
      <c r="Z137" s="110">
        <v>16.113226742193376</v>
      </c>
      <c r="AA137" s="101">
        <v>22273.5382512</v>
      </c>
      <c r="AB137" s="101">
        <v>24224.208832600001</v>
      </c>
      <c r="AC137" s="110">
        <v>8.7577939319762432</v>
      </c>
      <c r="AD137" s="110">
        <v>0.28873058275948188</v>
      </c>
      <c r="AE137" s="110"/>
      <c r="AF137" s="110"/>
      <c r="AG137" s="101"/>
      <c r="AH137" s="101"/>
      <c r="AI137" s="110"/>
      <c r="AJ137" s="101"/>
      <c r="AK137" s="101"/>
      <c r="AL137" s="110"/>
      <c r="AM137" s="110"/>
    </row>
    <row r="138" spans="1:39" s="22" customFormat="1" ht="14.25" customHeight="1">
      <c r="A138" s="140"/>
      <c r="B138" s="141" t="s">
        <v>79</v>
      </c>
      <c r="C138" s="96">
        <v>2.2739677240000011</v>
      </c>
      <c r="D138" s="96">
        <v>3.5000819000000023</v>
      </c>
      <c r="E138" s="113">
        <v>53.919594506962333</v>
      </c>
      <c r="F138" s="96">
        <v>29.109794324000003</v>
      </c>
      <c r="G138" s="96">
        <v>29.982626600000003</v>
      </c>
      <c r="H138" s="113">
        <v>2.9984144384022082</v>
      </c>
      <c r="I138" s="113">
        <v>7.5652118013984943E-2</v>
      </c>
      <c r="J138" s="103">
        <v>67</v>
      </c>
      <c r="K138" s="103">
        <v>87</v>
      </c>
      <c r="L138" s="113">
        <v>29.850746268656714</v>
      </c>
      <c r="M138" s="103">
        <v>730</v>
      </c>
      <c r="N138" s="103">
        <v>802</v>
      </c>
      <c r="O138" s="113">
        <v>9.8630136986301409</v>
      </c>
      <c r="P138" s="113">
        <v>7.6624911503959753E-2</v>
      </c>
      <c r="Q138" s="103"/>
      <c r="R138" s="103"/>
      <c r="S138" s="113" t="s">
        <v>126</v>
      </c>
      <c r="T138" s="103"/>
      <c r="U138" s="103"/>
      <c r="V138" s="113" t="s">
        <v>126</v>
      </c>
      <c r="W138" s="113" t="s">
        <v>126</v>
      </c>
      <c r="X138" s="96">
        <v>2.4634037999999996</v>
      </c>
      <c r="Y138" s="96">
        <v>2.2392560000000001</v>
      </c>
      <c r="Z138" s="113">
        <v>-9.0991091269729925</v>
      </c>
      <c r="AA138" s="96">
        <v>19.051720700000001</v>
      </c>
      <c r="AB138" s="96">
        <v>27.510581600000002</v>
      </c>
      <c r="AC138" s="113">
        <v>44.399458889820906</v>
      </c>
      <c r="AD138" s="113">
        <v>8.7420026282745089E-2</v>
      </c>
      <c r="AE138" s="113"/>
      <c r="AF138" s="113"/>
      <c r="AG138" s="96"/>
      <c r="AH138" s="96"/>
      <c r="AI138" s="113"/>
      <c r="AJ138" s="96"/>
      <c r="AK138" s="96"/>
      <c r="AL138" s="113"/>
      <c r="AM138" s="113"/>
    </row>
    <row r="139" spans="1:39" s="146" customFormat="1">
      <c r="A139" s="140"/>
      <c r="B139" s="141" t="s">
        <v>80</v>
      </c>
      <c r="C139" s="96">
        <v>83.915849682999919</v>
      </c>
      <c r="D139" s="96">
        <v>87.354750110000026</v>
      </c>
      <c r="E139" s="113">
        <v>4.0980344475934904</v>
      </c>
      <c r="F139" s="96">
        <v>819.183282319</v>
      </c>
      <c r="G139" s="96">
        <v>800.07237384999996</v>
      </c>
      <c r="H139" s="113">
        <v>-2.3329221776718367</v>
      </c>
      <c r="I139" s="113">
        <v>0.89883570227381504</v>
      </c>
      <c r="J139" s="103">
        <v>13065</v>
      </c>
      <c r="K139" s="103">
        <v>12738</v>
      </c>
      <c r="L139" s="113">
        <v>-2.5028702640642941</v>
      </c>
      <c r="M139" s="103">
        <v>139216</v>
      </c>
      <c r="N139" s="103">
        <v>127267</v>
      </c>
      <c r="O139" s="113">
        <v>-8.5830651649235747</v>
      </c>
      <c r="P139" s="113">
        <v>0.64776612887627971</v>
      </c>
      <c r="Q139" s="103"/>
      <c r="R139" s="103"/>
      <c r="S139" s="113" t="s">
        <v>126</v>
      </c>
      <c r="T139" s="103"/>
      <c r="U139" s="103"/>
      <c r="V139" s="113" t="s">
        <v>126</v>
      </c>
      <c r="W139" s="113" t="s">
        <v>126</v>
      </c>
      <c r="X139" s="96">
        <v>1073.3839120999996</v>
      </c>
      <c r="Y139" s="96">
        <v>1103.9429092999992</v>
      </c>
      <c r="Z139" s="113">
        <v>2.8469773820452682</v>
      </c>
      <c r="AA139" s="96">
        <v>11102.516316899999</v>
      </c>
      <c r="AB139" s="96">
        <v>10934.681226599998</v>
      </c>
      <c r="AC139" s="113">
        <v>-1.511685148748898</v>
      </c>
      <c r="AD139" s="113">
        <v>0.41273338970508688</v>
      </c>
      <c r="AE139" s="113"/>
      <c r="AF139" s="113"/>
      <c r="AG139" s="96"/>
      <c r="AH139" s="96"/>
      <c r="AI139" s="113"/>
      <c r="AJ139" s="96"/>
      <c r="AK139" s="96"/>
      <c r="AL139" s="113"/>
      <c r="AM139" s="113"/>
    </row>
    <row r="140" spans="1:39" s="146" customFormat="1">
      <c r="A140" s="140"/>
      <c r="B140" s="141" t="s">
        <v>81</v>
      </c>
      <c r="C140" s="96">
        <v>0</v>
      </c>
      <c r="D140" s="96">
        <v>0</v>
      </c>
      <c r="E140" s="113" t="s">
        <v>126</v>
      </c>
      <c r="F140" s="96">
        <v>0</v>
      </c>
      <c r="G140" s="96">
        <v>0</v>
      </c>
      <c r="H140" s="113" t="s">
        <v>126</v>
      </c>
      <c r="I140" s="113">
        <v>0</v>
      </c>
      <c r="J140" s="103">
        <v>0</v>
      </c>
      <c r="K140" s="103">
        <v>0</v>
      </c>
      <c r="L140" s="113" t="s">
        <v>126</v>
      </c>
      <c r="M140" s="103">
        <v>0</v>
      </c>
      <c r="N140" s="103">
        <v>0</v>
      </c>
      <c r="O140" s="113" t="s">
        <v>126</v>
      </c>
      <c r="P140" s="113">
        <v>0</v>
      </c>
      <c r="Q140" s="103">
        <v>0</v>
      </c>
      <c r="R140" s="103">
        <v>0</v>
      </c>
      <c r="S140" s="113" t="s">
        <v>126</v>
      </c>
      <c r="T140" s="103">
        <v>0</v>
      </c>
      <c r="U140" s="103">
        <v>0</v>
      </c>
      <c r="V140" s="113" t="s">
        <v>126</v>
      </c>
      <c r="W140" s="113">
        <v>0</v>
      </c>
      <c r="X140" s="96">
        <v>0</v>
      </c>
      <c r="Y140" s="96">
        <v>0</v>
      </c>
      <c r="Z140" s="113" t="s">
        <v>126</v>
      </c>
      <c r="AA140" s="96">
        <v>0</v>
      </c>
      <c r="AB140" s="96">
        <v>0</v>
      </c>
      <c r="AC140" s="113" t="s">
        <v>126</v>
      </c>
      <c r="AD140" s="113">
        <v>0</v>
      </c>
      <c r="AE140" s="113"/>
      <c r="AF140" s="113"/>
      <c r="AG140" s="96"/>
      <c r="AH140" s="96"/>
      <c r="AI140" s="113"/>
      <c r="AJ140" s="96"/>
      <c r="AK140" s="96"/>
      <c r="AL140" s="113"/>
      <c r="AM140" s="113"/>
    </row>
    <row r="141" spans="1:39" s="146" customFormat="1">
      <c r="A141" s="140"/>
      <c r="B141" s="141" t="s">
        <v>82</v>
      </c>
      <c r="C141" s="96">
        <v>2.1283562999999996</v>
      </c>
      <c r="D141" s="96">
        <v>3.2673006</v>
      </c>
      <c r="E141" s="113">
        <v>53.51285872576883</v>
      </c>
      <c r="F141" s="96">
        <v>49.371237239000003</v>
      </c>
      <c r="G141" s="96">
        <v>50.155210496999992</v>
      </c>
      <c r="H141" s="113">
        <v>1.58791495178634</v>
      </c>
      <c r="I141" s="113">
        <v>2.3330810480487782</v>
      </c>
      <c r="J141" s="103">
        <v>6</v>
      </c>
      <c r="K141" s="103">
        <v>5</v>
      </c>
      <c r="L141" s="113">
        <v>-16.666666666666664</v>
      </c>
      <c r="M141" s="103">
        <v>46</v>
      </c>
      <c r="N141" s="103">
        <v>64</v>
      </c>
      <c r="O141" s="113">
        <v>39.130434782608688</v>
      </c>
      <c r="P141" s="113">
        <v>1.6028049085900324</v>
      </c>
      <c r="Q141" s="106">
        <v>2895</v>
      </c>
      <c r="R141" s="106">
        <v>5495</v>
      </c>
      <c r="S141" s="113">
        <v>89.810017271157164</v>
      </c>
      <c r="T141" s="106">
        <v>37999</v>
      </c>
      <c r="U141" s="106">
        <v>46306</v>
      </c>
      <c r="V141" s="113">
        <v>21.861101607937062</v>
      </c>
      <c r="W141" s="113">
        <v>0.57143759759765689</v>
      </c>
      <c r="X141" s="96">
        <v>1.4450000000000001</v>
      </c>
      <c r="Y141" s="96">
        <v>5.4254999999999995</v>
      </c>
      <c r="Z141" s="113">
        <v>275.46712802768161</v>
      </c>
      <c r="AA141" s="96">
        <v>36.0026832</v>
      </c>
      <c r="AB141" s="96">
        <v>36.154136900000005</v>
      </c>
      <c r="AC141" s="113">
        <v>0.42067336803386368</v>
      </c>
      <c r="AD141" s="113">
        <v>3.9527784714638629E-2</v>
      </c>
      <c r="AE141" s="113"/>
      <c r="AF141" s="113"/>
      <c r="AG141" s="96"/>
      <c r="AH141" s="96"/>
      <c r="AI141" s="113"/>
      <c r="AJ141" s="96"/>
      <c r="AK141" s="96"/>
      <c r="AL141" s="113"/>
      <c r="AM141" s="113"/>
    </row>
    <row r="142" spans="1:39" s="146" customFormat="1" ht="15">
      <c r="A142" s="140"/>
      <c r="B142" s="142" t="s">
        <v>83</v>
      </c>
      <c r="C142" s="96">
        <v>0.42823787899999999</v>
      </c>
      <c r="D142" s="96">
        <v>0.80014453899999982</v>
      </c>
      <c r="E142" s="113">
        <v>86.845811227268825</v>
      </c>
      <c r="F142" s="96">
        <v>12.185783508000007</v>
      </c>
      <c r="G142" s="96">
        <v>26.725117310999998</v>
      </c>
      <c r="H142" s="113">
        <v>119.31390208479309</v>
      </c>
      <c r="I142" s="113">
        <v>0.2396308232472493</v>
      </c>
      <c r="J142" s="103">
        <v>8</v>
      </c>
      <c r="K142" s="103">
        <v>9</v>
      </c>
      <c r="L142" s="113">
        <v>12.5</v>
      </c>
      <c r="M142" s="103">
        <v>54</v>
      </c>
      <c r="N142" s="103">
        <v>54</v>
      </c>
      <c r="O142" s="113">
        <v>0</v>
      </c>
      <c r="P142" s="113">
        <v>0.19632794037447737</v>
      </c>
      <c r="Q142" s="106">
        <v>5030</v>
      </c>
      <c r="R142" s="106">
        <v>7036</v>
      </c>
      <c r="S142" s="113">
        <v>39.880715705765411</v>
      </c>
      <c r="T142" s="106">
        <v>191943</v>
      </c>
      <c r="U142" s="106">
        <v>203705</v>
      </c>
      <c r="V142" s="113">
        <v>6.1278608753640329</v>
      </c>
      <c r="W142" s="113">
        <v>0.25786702669437989</v>
      </c>
      <c r="X142" s="96">
        <v>361.36575060000001</v>
      </c>
      <c r="Y142" s="96">
        <v>558.86463750000007</v>
      </c>
      <c r="Z142" s="113">
        <v>54.653460260713494</v>
      </c>
      <c r="AA142" s="96">
        <v>11115.967530400001</v>
      </c>
      <c r="AB142" s="96">
        <v>13225.862887500001</v>
      </c>
      <c r="AC142" s="113">
        <v>18.980762145353957</v>
      </c>
      <c r="AD142" s="113">
        <v>0.34746510822314258</v>
      </c>
      <c r="AE142" s="113"/>
      <c r="AF142" s="113"/>
      <c r="AG142" s="96"/>
      <c r="AH142" s="96"/>
      <c r="AI142" s="113"/>
      <c r="AJ142" s="96"/>
      <c r="AK142" s="96"/>
      <c r="AL142" s="113"/>
      <c r="AM142" s="113"/>
    </row>
    <row r="143" spans="1:39" s="146" customFormat="1">
      <c r="A143" s="140"/>
      <c r="B143" s="144"/>
      <c r="C143" s="104"/>
      <c r="D143" s="104"/>
      <c r="E143" s="113"/>
      <c r="F143" s="104"/>
      <c r="G143" s="104"/>
      <c r="H143" s="113"/>
      <c r="I143" s="110"/>
      <c r="J143" s="103"/>
      <c r="K143" s="103"/>
      <c r="L143" s="113"/>
      <c r="M143" s="103"/>
      <c r="N143" s="103"/>
      <c r="O143" s="113"/>
      <c r="P143" s="113"/>
      <c r="Q143" s="103"/>
      <c r="R143" s="103"/>
      <c r="S143" s="113"/>
      <c r="T143" s="103"/>
      <c r="U143" s="103"/>
      <c r="V143" s="113"/>
      <c r="W143" s="113"/>
      <c r="X143" s="96"/>
      <c r="Y143" s="96"/>
      <c r="Z143" s="113"/>
      <c r="AA143" s="96"/>
      <c r="AB143" s="96"/>
      <c r="AC143" s="113"/>
      <c r="AD143" s="113"/>
      <c r="AE143" s="113"/>
      <c r="AF143" s="113"/>
      <c r="AG143" s="96"/>
      <c r="AH143" s="96"/>
      <c r="AI143" s="113"/>
      <c r="AJ143" s="96"/>
      <c r="AK143" s="96"/>
      <c r="AL143" s="113"/>
      <c r="AM143" s="113"/>
    </row>
    <row r="144" spans="1:39" s="145" customFormat="1" ht="15">
      <c r="A144" s="16">
        <v>21</v>
      </c>
      <c r="B144" s="139" t="s">
        <v>102</v>
      </c>
      <c r="C144" s="101">
        <v>5218.8552444160123</v>
      </c>
      <c r="D144" s="101">
        <v>3275.2592578940121</v>
      </c>
      <c r="E144" s="110">
        <v>-37.241806785148491</v>
      </c>
      <c r="F144" s="101">
        <v>31218.853888428006</v>
      </c>
      <c r="G144" s="101">
        <v>29530.79490250098</v>
      </c>
      <c r="H144" s="110">
        <v>-5.407177957140652</v>
      </c>
      <c r="I144" s="110">
        <v>9.653359843942324</v>
      </c>
      <c r="J144" s="102">
        <v>189174</v>
      </c>
      <c r="K144" s="102">
        <v>191790</v>
      </c>
      <c r="L144" s="110">
        <v>1.3828538805544133</v>
      </c>
      <c r="M144" s="101">
        <v>1831548</v>
      </c>
      <c r="N144" s="101">
        <v>1779507</v>
      </c>
      <c r="O144" s="110">
        <v>-2.8413669748213022</v>
      </c>
      <c r="P144" s="110">
        <v>8.5850764218352733</v>
      </c>
      <c r="Q144" s="102"/>
      <c r="R144" s="102">
        <v>2483885</v>
      </c>
      <c r="S144" s="110" t="s">
        <v>126</v>
      </c>
      <c r="T144" s="102">
        <v>27677538</v>
      </c>
      <c r="U144" s="102">
        <v>19325671</v>
      </c>
      <c r="V144" s="110">
        <v>-30.175613885888264</v>
      </c>
      <c r="W144" s="110">
        <v>9.0244168472545816</v>
      </c>
      <c r="X144" s="101">
        <v>78563.199890999997</v>
      </c>
      <c r="Y144" s="101">
        <v>93331.865346000006</v>
      </c>
      <c r="Z144" s="110">
        <v>18.798452043056191</v>
      </c>
      <c r="AA144" s="101">
        <v>635861.24857199995</v>
      </c>
      <c r="AB144" s="101">
        <v>735018.32230499992</v>
      </c>
      <c r="AC144" s="110">
        <v>15.594136921487856</v>
      </c>
      <c r="AD144" s="110">
        <v>8.7607512800343255</v>
      </c>
      <c r="AE144" s="110"/>
      <c r="AF144" s="110"/>
      <c r="AG144" s="101"/>
      <c r="AH144" s="101"/>
      <c r="AI144" s="110"/>
      <c r="AJ144" s="101"/>
      <c r="AK144" s="101"/>
      <c r="AL144" s="110"/>
      <c r="AM144" s="110"/>
    </row>
    <row r="145" spans="1:39" s="146" customFormat="1">
      <c r="A145" s="152"/>
      <c r="B145" s="141" t="s">
        <v>79</v>
      </c>
      <c r="C145" s="96">
        <v>610.49192418900191</v>
      </c>
      <c r="D145" s="96">
        <v>704.43428473300287</v>
      </c>
      <c r="E145" s="113">
        <v>15.387977599998104</v>
      </c>
      <c r="F145" s="96">
        <v>6140.1615027930002</v>
      </c>
      <c r="G145" s="96">
        <v>6598.7246831190023</v>
      </c>
      <c r="H145" s="113">
        <v>7.4682592651254209</v>
      </c>
      <c r="I145" s="113">
        <v>16.64989212349775</v>
      </c>
      <c r="J145" s="103">
        <v>7654</v>
      </c>
      <c r="K145" s="103">
        <v>9282</v>
      </c>
      <c r="L145" s="113">
        <v>21.269924222628699</v>
      </c>
      <c r="M145" s="103">
        <v>74447</v>
      </c>
      <c r="N145" s="103">
        <v>89202</v>
      </c>
      <c r="O145" s="113">
        <v>19.81946888390398</v>
      </c>
      <c r="P145" s="113">
        <v>8.5225627880002701</v>
      </c>
      <c r="Q145" s="103"/>
      <c r="R145" s="103"/>
      <c r="S145" s="113" t="s">
        <v>126</v>
      </c>
      <c r="T145" s="103"/>
      <c r="U145" s="103"/>
      <c r="V145" s="113" t="s">
        <v>126</v>
      </c>
      <c r="W145" s="113" t="s">
        <v>126</v>
      </c>
      <c r="X145" s="96">
        <v>262.76906299999996</v>
      </c>
      <c r="Y145" s="96">
        <v>334.010625</v>
      </c>
      <c r="Z145" s="113">
        <v>27.111852965735196</v>
      </c>
      <c r="AA145" s="96">
        <v>2726.1932879999995</v>
      </c>
      <c r="AB145" s="96">
        <v>3838.6075729999998</v>
      </c>
      <c r="AC145" s="113">
        <v>40.804674044814114</v>
      </c>
      <c r="AD145" s="113">
        <v>12.197894606517671</v>
      </c>
      <c r="AE145" s="113"/>
      <c r="AF145" s="113"/>
      <c r="AG145" s="96"/>
      <c r="AH145" s="96"/>
      <c r="AI145" s="113"/>
      <c r="AJ145" s="96"/>
      <c r="AK145" s="96"/>
      <c r="AL145" s="113"/>
      <c r="AM145" s="113"/>
    </row>
    <row r="146" spans="1:39" s="146" customFormat="1">
      <c r="A146" s="152"/>
      <c r="B146" s="141" t="s">
        <v>80</v>
      </c>
      <c r="C146" s="96">
        <v>1570.7405027130062</v>
      </c>
      <c r="D146" s="96">
        <v>1861.3451209580082</v>
      </c>
      <c r="E146" s="113">
        <v>18.50112209770267</v>
      </c>
      <c r="F146" s="96">
        <v>13802.617249302</v>
      </c>
      <c r="G146" s="96">
        <v>15824.364738356979</v>
      </c>
      <c r="H146" s="113">
        <v>14.64756612849798</v>
      </c>
      <c r="I146" s="113">
        <v>17.777771683571164</v>
      </c>
      <c r="J146" s="103">
        <v>181499</v>
      </c>
      <c r="K146" s="103">
        <v>182443</v>
      </c>
      <c r="L146" s="113">
        <v>0.52011305847414757</v>
      </c>
      <c r="M146" s="103">
        <v>1756693</v>
      </c>
      <c r="N146" s="103">
        <v>1689832</v>
      </c>
      <c r="O146" s="113">
        <v>-3.8060719772891494</v>
      </c>
      <c r="P146" s="113">
        <v>8.600940802338874</v>
      </c>
      <c r="Q146" s="103"/>
      <c r="R146" s="103"/>
      <c r="S146" s="113" t="s">
        <v>126</v>
      </c>
      <c r="T146" s="103"/>
      <c r="U146" s="103"/>
      <c r="V146" s="113" t="s">
        <v>126</v>
      </c>
      <c r="W146" s="113" t="s">
        <v>126</v>
      </c>
      <c r="X146" s="96">
        <v>17072.97479</v>
      </c>
      <c r="Y146" s="96">
        <v>27339.501212999996</v>
      </c>
      <c r="Z146" s="113">
        <v>60.133202029990194</v>
      </c>
      <c r="AA146" s="96">
        <v>151520.752274</v>
      </c>
      <c r="AB146" s="96">
        <v>205324.19361299998</v>
      </c>
      <c r="AC146" s="113">
        <v>35.508958694783566</v>
      </c>
      <c r="AD146" s="113">
        <v>7.7500339207151425</v>
      </c>
      <c r="AE146" s="113"/>
      <c r="AF146" s="113"/>
      <c r="AG146" s="96"/>
      <c r="AH146" s="96"/>
      <c r="AI146" s="113"/>
      <c r="AJ146" s="96"/>
      <c r="AK146" s="96"/>
      <c r="AL146" s="113"/>
      <c r="AM146" s="113"/>
    </row>
    <row r="147" spans="1:39" s="146" customFormat="1">
      <c r="A147" s="152"/>
      <c r="B147" s="141" t="s">
        <v>81</v>
      </c>
      <c r="C147" s="96">
        <v>2956.719148679003</v>
      </c>
      <c r="D147" s="96">
        <v>646.62179097300077</v>
      </c>
      <c r="E147" s="113">
        <v>-78.130429085160245</v>
      </c>
      <c r="F147" s="96">
        <v>10480.056447910005</v>
      </c>
      <c r="G147" s="96">
        <v>6495.0134512880004</v>
      </c>
      <c r="H147" s="113">
        <v>-38.02501462114477</v>
      </c>
      <c r="I147" s="113">
        <v>3.9612095542668264</v>
      </c>
      <c r="J147" s="103">
        <v>12</v>
      </c>
      <c r="K147" s="103">
        <v>33</v>
      </c>
      <c r="L147" s="113">
        <v>175</v>
      </c>
      <c r="M147" s="103">
        <v>215</v>
      </c>
      <c r="N147" s="103">
        <v>275</v>
      </c>
      <c r="O147" s="113">
        <v>27.906976744186053</v>
      </c>
      <c r="P147" s="113">
        <v>10.200296735905043</v>
      </c>
      <c r="Q147" s="103">
        <v>170983</v>
      </c>
      <c r="R147" s="103">
        <v>52441</v>
      </c>
      <c r="S147" s="113">
        <v>-69.329699443804358</v>
      </c>
      <c r="T147" s="103">
        <v>882523</v>
      </c>
      <c r="U147" s="103">
        <v>960836</v>
      </c>
      <c r="V147" s="113">
        <v>8.8737630633989095</v>
      </c>
      <c r="W147" s="113">
        <v>0.75627119785225139</v>
      </c>
      <c r="X147" s="96">
        <v>6456.1363380000003</v>
      </c>
      <c r="Y147" s="96">
        <v>8423.1748079999998</v>
      </c>
      <c r="Z147" s="113">
        <v>30.467734369583567</v>
      </c>
      <c r="AA147" s="96">
        <v>64504.320054999997</v>
      </c>
      <c r="AB147" s="96">
        <v>69621.643318999995</v>
      </c>
      <c r="AC147" s="113">
        <v>7.9333031642480512</v>
      </c>
      <c r="AD147" s="113">
        <v>3.8438507932008674</v>
      </c>
      <c r="AE147" s="113"/>
      <c r="AF147" s="113"/>
      <c r="AG147" s="96"/>
      <c r="AH147" s="96"/>
      <c r="AI147" s="113"/>
      <c r="AJ147" s="96"/>
      <c r="AK147" s="96"/>
      <c r="AL147" s="113"/>
      <c r="AM147" s="113"/>
    </row>
    <row r="148" spans="1:39" s="146" customFormat="1">
      <c r="A148" s="152"/>
      <c r="B148" s="141" t="s">
        <v>82</v>
      </c>
      <c r="C148" s="96">
        <v>1.8708476189999996</v>
      </c>
      <c r="D148" s="96">
        <v>2.9356625430000007</v>
      </c>
      <c r="E148" s="113">
        <v>56.91617602555803</v>
      </c>
      <c r="F148" s="96">
        <v>23.091664898000005</v>
      </c>
      <c r="G148" s="96">
        <v>13.830757424999996</v>
      </c>
      <c r="H148" s="113">
        <v>-40.104979497611303</v>
      </c>
      <c r="I148" s="113">
        <v>0.6433684099552831</v>
      </c>
      <c r="J148" s="103">
        <v>0</v>
      </c>
      <c r="K148" s="103">
        <v>0</v>
      </c>
      <c r="L148" s="113" t="s">
        <v>126</v>
      </c>
      <c r="M148" s="103">
        <v>0</v>
      </c>
      <c r="N148" s="103">
        <v>0</v>
      </c>
      <c r="O148" s="113" t="s">
        <v>126</v>
      </c>
      <c r="P148" s="113">
        <v>0</v>
      </c>
      <c r="Q148" s="106">
        <v>3430</v>
      </c>
      <c r="R148" s="106">
        <v>5197</v>
      </c>
      <c r="S148" s="113">
        <v>51.516034985422742</v>
      </c>
      <c r="T148" s="106">
        <v>37248</v>
      </c>
      <c r="U148" s="106">
        <v>19751</v>
      </c>
      <c r="V148" s="113">
        <v>-46.974334192439862</v>
      </c>
      <c r="W148" s="113">
        <v>0.24373653500953055</v>
      </c>
      <c r="X148" s="96">
        <v>0.34299999999999997</v>
      </c>
      <c r="Y148" s="96">
        <v>0.51969999999999994</v>
      </c>
      <c r="Z148" s="113">
        <v>51.516034985422742</v>
      </c>
      <c r="AA148" s="96">
        <v>7.2905550000000003</v>
      </c>
      <c r="AB148" s="96">
        <v>5.0383000000000004</v>
      </c>
      <c r="AC148" s="113">
        <v>-30.892778396157759</v>
      </c>
      <c r="AD148" s="113">
        <v>5.5084384472683622E-3</v>
      </c>
      <c r="AE148" s="113"/>
      <c r="AF148" s="113"/>
      <c r="AG148" s="96"/>
      <c r="AH148" s="96"/>
      <c r="AI148" s="113"/>
      <c r="AJ148" s="96"/>
      <c r="AK148" s="96"/>
      <c r="AL148" s="113"/>
      <c r="AM148" s="113"/>
    </row>
    <row r="149" spans="1:39" s="146" customFormat="1" ht="15">
      <c r="A149" s="152"/>
      <c r="B149" s="142" t="s">
        <v>83</v>
      </c>
      <c r="C149" s="96">
        <v>79.032821215999874</v>
      </c>
      <c r="D149" s="96">
        <v>59.922398687000012</v>
      </c>
      <c r="E149" s="113">
        <v>-24.18036232917753</v>
      </c>
      <c r="F149" s="96">
        <v>772.92702352499998</v>
      </c>
      <c r="G149" s="96">
        <v>598.86127231199998</v>
      </c>
      <c r="H149" s="113">
        <v>-22.520334509609739</v>
      </c>
      <c r="I149" s="113">
        <v>5.369690917538203</v>
      </c>
      <c r="J149" s="103">
        <v>9</v>
      </c>
      <c r="K149" s="103">
        <v>32</v>
      </c>
      <c r="L149" s="113">
        <v>255.55555555555554</v>
      </c>
      <c r="M149" s="103">
        <v>193</v>
      </c>
      <c r="N149" s="103">
        <v>198</v>
      </c>
      <c r="O149" s="113">
        <v>2.5906735751295429</v>
      </c>
      <c r="P149" s="113">
        <v>0.71986911470641701</v>
      </c>
      <c r="Q149" s="106">
        <v>3339171</v>
      </c>
      <c r="R149" s="106">
        <v>2426247</v>
      </c>
      <c r="S149" s="113">
        <v>-27.339839738665674</v>
      </c>
      <c r="T149" s="106">
        <v>26757767</v>
      </c>
      <c r="U149" s="106">
        <v>18345084</v>
      </c>
      <c r="V149" s="113">
        <v>-31.440153432833164</v>
      </c>
      <c r="W149" s="113">
        <v>23.222759704173399</v>
      </c>
      <c r="X149" s="96">
        <v>54770.976699999999</v>
      </c>
      <c r="Y149" s="96">
        <v>57234.659000000007</v>
      </c>
      <c r="Z149" s="113">
        <v>4.498152942377609</v>
      </c>
      <c r="AA149" s="96">
        <v>417102.69239999994</v>
      </c>
      <c r="AB149" s="96">
        <v>456228.83949999994</v>
      </c>
      <c r="AC149" s="113">
        <v>9.3804590123523379</v>
      </c>
      <c r="AD149" s="113">
        <v>11.985879820454642</v>
      </c>
      <c r="AE149" s="113"/>
      <c r="AF149" s="113"/>
      <c r="AG149" s="96"/>
      <c r="AH149" s="96"/>
      <c r="AI149" s="113"/>
      <c r="AJ149" s="96"/>
      <c r="AK149" s="96"/>
      <c r="AL149" s="113"/>
      <c r="AM149" s="113"/>
    </row>
    <row r="150" spans="1:39" s="146" customFormat="1">
      <c r="A150" s="152"/>
      <c r="B150" s="144"/>
      <c r="C150" s="104"/>
      <c r="D150" s="104"/>
      <c r="E150" s="113"/>
      <c r="F150" s="104"/>
      <c r="G150" s="104"/>
      <c r="H150" s="113"/>
      <c r="I150" s="110"/>
      <c r="J150" s="103"/>
      <c r="K150" s="103"/>
      <c r="L150" s="113"/>
      <c r="M150" s="103"/>
      <c r="N150" s="103"/>
      <c r="O150" s="113"/>
      <c r="P150" s="113"/>
      <c r="Q150" s="103"/>
      <c r="R150" s="103"/>
      <c r="S150" s="113"/>
      <c r="T150" s="103"/>
      <c r="U150" s="103"/>
      <c r="V150" s="113"/>
      <c r="W150" s="113"/>
      <c r="X150" s="96"/>
      <c r="Y150" s="96"/>
      <c r="Z150" s="113"/>
      <c r="AA150" s="96"/>
      <c r="AB150" s="96"/>
      <c r="AC150" s="113"/>
      <c r="AD150" s="113"/>
      <c r="AE150" s="113"/>
      <c r="AF150" s="113"/>
      <c r="AG150" s="96"/>
      <c r="AH150" s="96"/>
      <c r="AI150" s="113"/>
      <c r="AJ150" s="96"/>
      <c r="AK150" s="96"/>
      <c r="AL150" s="113"/>
      <c r="AM150" s="113"/>
    </row>
    <row r="151" spans="1:39" s="145" customFormat="1" ht="15">
      <c r="A151" s="16">
        <v>22</v>
      </c>
      <c r="B151" s="139" t="s">
        <v>103</v>
      </c>
      <c r="C151" s="101">
        <v>140.91358913951535</v>
      </c>
      <c r="D151" s="101">
        <v>181.76413934325996</v>
      </c>
      <c r="E151" s="110">
        <v>28.989787608985964</v>
      </c>
      <c r="F151" s="101">
        <v>1415.6159021590756</v>
      </c>
      <c r="G151" s="101">
        <v>1754.5769609633307</v>
      </c>
      <c r="H151" s="110">
        <v>23.944422938967904</v>
      </c>
      <c r="I151" s="110">
        <v>0.57355593826684703</v>
      </c>
      <c r="J151" s="102">
        <v>45672</v>
      </c>
      <c r="K151" s="102">
        <v>38708</v>
      </c>
      <c r="L151" s="110">
        <v>-15.247854265195304</v>
      </c>
      <c r="M151" s="101">
        <v>315751</v>
      </c>
      <c r="N151" s="101">
        <v>427516</v>
      </c>
      <c r="O151" s="110">
        <v>35.396562481195623</v>
      </c>
      <c r="P151" s="110">
        <v>2.0625136802256629</v>
      </c>
      <c r="Q151" s="102">
        <v>833467</v>
      </c>
      <c r="R151" s="102">
        <v>925660</v>
      </c>
      <c r="S151" s="110">
        <v>11.061385753725105</v>
      </c>
      <c r="T151" s="102">
        <v>9138218</v>
      </c>
      <c r="U151" s="102">
        <v>7822353</v>
      </c>
      <c r="V151" s="110">
        <v>-14.399579874325607</v>
      </c>
      <c r="W151" s="110">
        <v>3.6527670474351148</v>
      </c>
      <c r="X151" s="101">
        <v>7785.3458995419996</v>
      </c>
      <c r="Y151" s="101">
        <v>10941.4139134</v>
      </c>
      <c r="Z151" s="110">
        <v>40.538571498071363</v>
      </c>
      <c r="AA151" s="101">
        <v>82159.770117099994</v>
      </c>
      <c r="AB151" s="101">
        <v>157551.07064510003</v>
      </c>
      <c r="AC151" s="110">
        <v>91.761820195634613</v>
      </c>
      <c r="AD151" s="110">
        <v>1.8778657646197965</v>
      </c>
      <c r="AE151" s="110"/>
      <c r="AF151" s="110"/>
      <c r="AG151" s="101"/>
      <c r="AH151" s="101"/>
      <c r="AI151" s="110"/>
      <c r="AJ151" s="101"/>
      <c r="AK151" s="101"/>
      <c r="AL151" s="110"/>
      <c r="AM151" s="110"/>
    </row>
    <row r="152" spans="1:39" s="146" customFormat="1">
      <c r="A152" s="152"/>
      <c r="B152" s="141" t="s">
        <v>79</v>
      </c>
      <c r="C152" s="96">
        <v>6.1882156000000021</v>
      </c>
      <c r="D152" s="96">
        <v>8.4419461000000027</v>
      </c>
      <c r="E152" s="113">
        <v>36.419715240690699</v>
      </c>
      <c r="F152" s="96">
        <v>48.422017199999999</v>
      </c>
      <c r="G152" s="96">
        <v>72.127241085999998</v>
      </c>
      <c r="H152" s="113">
        <v>48.955465419974288</v>
      </c>
      <c r="I152" s="113">
        <v>0.18199134543673418</v>
      </c>
      <c r="J152" s="103">
        <v>863</v>
      </c>
      <c r="K152" s="103">
        <v>936</v>
      </c>
      <c r="L152" s="113">
        <v>8.4588644264194777</v>
      </c>
      <c r="M152" s="103">
        <v>9505</v>
      </c>
      <c r="N152" s="103">
        <v>8611</v>
      </c>
      <c r="O152" s="113">
        <v>-9.4055760126249393</v>
      </c>
      <c r="P152" s="113">
        <v>0.82271460468902424</v>
      </c>
      <c r="Q152" s="103"/>
      <c r="R152" s="103"/>
      <c r="S152" s="113" t="s">
        <v>126</v>
      </c>
      <c r="T152" s="103"/>
      <c r="U152" s="103"/>
      <c r="V152" s="113" t="s">
        <v>126</v>
      </c>
      <c r="W152" s="113" t="s">
        <v>126</v>
      </c>
      <c r="X152" s="96">
        <v>26.466981000000001</v>
      </c>
      <c r="Y152" s="96">
        <v>18.903977000000019</v>
      </c>
      <c r="Z152" s="113">
        <v>-28.575242487989016</v>
      </c>
      <c r="AA152" s="96">
        <v>280.92282600000004</v>
      </c>
      <c r="AB152" s="96">
        <v>209.46726300000003</v>
      </c>
      <c r="AC152" s="113">
        <v>-25.436011739394935</v>
      </c>
      <c r="AD152" s="113">
        <v>0.66562146533589384</v>
      </c>
      <c r="AE152" s="113"/>
      <c r="AF152" s="113"/>
      <c r="AG152" s="96"/>
      <c r="AH152" s="96"/>
      <c r="AI152" s="113"/>
      <c r="AJ152" s="96"/>
      <c r="AK152" s="96"/>
      <c r="AL152" s="113"/>
      <c r="AM152" s="113"/>
    </row>
    <row r="153" spans="1:39" s="146" customFormat="1">
      <c r="A153" s="152"/>
      <c r="B153" s="141" t="s">
        <v>80</v>
      </c>
      <c r="C153" s="96">
        <v>75.317329894515325</v>
      </c>
      <c r="D153" s="96">
        <v>104.87133990325992</v>
      </c>
      <c r="E153" s="113">
        <v>39.239322543876789</v>
      </c>
      <c r="F153" s="96">
        <v>614.8584925430755</v>
      </c>
      <c r="G153" s="96">
        <v>905.51644087733007</v>
      </c>
      <c r="H153" s="113">
        <v>47.272332066535093</v>
      </c>
      <c r="I153" s="113">
        <v>1.0172961005263443</v>
      </c>
      <c r="J153" s="103">
        <v>44802</v>
      </c>
      <c r="K153" s="103">
        <v>37766</v>
      </c>
      <c r="L153" s="113">
        <v>-15.704656042140975</v>
      </c>
      <c r="M153" s="103">
        <v>306189</v>
      </c>
      <c r="N153" s="103">
        <v>418801</v>
      </c>
      <c r="O153" s="113">
        <v>36.778591000983063</v>
      </c>
      <c r="P153" s="113">
        <v>2.1316217286454053</v>
      </c>
      <c r="Q153" s="103"/>
      <c r="R153" s="103"/>
      <c r="S153" s="113" t="s">
        <v>126</v>
      </c>
      <c r="T153" s="103"/>
      <c r="U153" s="103"/>
      <c r="V153" s="113" t="s">
        <v>126</v>
      </c>
      <c r="W153" s="113" t="s">
        <v>126</v>
      </c>
      <c r="X153" s="96">
        <v>1334.3819725999995</v>
      </c>
      <c r="Y153" s="96">
        <v>1680.9295804000003</v>
      </c>
      <c r="Z153" s="113">
        <v>25.970645206242125</v>
      </c>
      <c r="AA153" s="96">
        <v>10924.396722499998</v>
      </c>
      <c r="AB153" s="96">
        <v>15318.7858942</v>
      </c>
      <c r="AC153" s="113">
        <v>40.225463092614298</v>
      </c>
      <c r="AD153" s="113">
        <v>0.57821296270614397</v>
      </c>
      <c r="AE153" s="113"/>
      <c r="AF153" s="113"/>
      <c r="AG153" s="96"/>
      <c r="AH153" s="96"/>
      <c r="AI153" s="113"/>
      <c r="AJ153" s="96"/>
      <c r="AK153" s="96"/>
      <c r="AL153" s="113"/>
      <c r="AM153" s="113"/>
    </row>
    <row r="154" spans="1:39" s="146" customFormat="1" ht="14.25" customHeight="1">
      <c r="A154" s="152"/>
      <c r="B154" s="141" t="s">
        <v>81</v>
      </c>
      <c r="C154" s="96">
        <v>47.870219939000009</v>
      </c>
      <c r="D154" s="96">
        <v>47.128651502000011</v>
      </c>
      <c r="E154" s="113">
        <v>-1.5491226861814367</v>
      </c>
      <c r="F154" s="96">
        <v>434.82657310200005</v>
      </c>
      <c r="G154" s="96">
        <v>479.08990802900013</v>
      </c>
      <c r="H154" s="113">
        <v>10.179537697346962</v>
      </c>
      <c r="I154" s="113">
        <v>0.29218962135651161</v>
      </c>
      <c r="J154" s="103">
        <v>1</v>
      </c>
      <c r="K154" s="103">
        <v>1</v>
      </c>
      <c r="L154" s="113">
        <v>0</v>
      </c>
      <c r="M154" s="103">
        <v>14</v>
      </c>
      <c r="N154" s="103">
        <v>20</v>
      </c>
      <c r="O154" s="113">
        <v>42.857142857142861</v>
      </c>
      <c r="P154" s="113">
        <v>0.74183976261127604</v>
      </c>
      <c r="Q154" s="103">
        <v>373879</v>
      </c>
      <c r="R154" s="103">
        <v>356232</v>
      </c>
      <c r="S154" s="113">
        <v>-4.7199762490003465</v>
      </c>
      <c r="T154" s="103">
        <v>3670862</v>
      </c>
      <c r="U154" s="103">
        <v>3600546</v>
      </c>
      <c r="V154" s="113">
        <v>-1.9155173907381973</v>
      </c>
      <c r="W154" s="113">
        <v>2.8339791976384441</v>
      </c>
      <c r="X154" s="96">
        <v>4664.488497323</v>
      </c>
      <c r="Y154" s="96">
        <v>5279.2923400999998</v>
      </c>
      <c r="Z154" s="113">
        <v>13.180520074812963</v>
      </c>
      <c r="AA154" s="96">
        <v>42566.496683400001</v>
      </c>
      <c r="AB154" s="96">
        <v>49220.59441469999</v>
      </c>
      <c r="AC154" s="113">
        <v>15.632241903278231</v>
      </c>
      <c r="AD154" s="113">
        <v>2.7174972014935235</v>
      </c>
      <c r="AE154" s="113"/>
      <c r="AF154" s="113"/>
      <c r="AG154" s="96"/>
      <c r="AH154" s="96"/>
      <c r="AI154" s="113"/>
      <c r="AJ154" s="96"/>
      <c r="AK154" s="96"/>
      <c r="AL154" s="113"/>
      <c r="AM154" s="113"/>
    </row>
    <row r="155" spans="1:39" s="21" customFormat="1">
      <c r="A155" s="152"/>
      <c r="B155" s="141" t="s">
        <v>82</v>
      </c>
      <c r="C155" s="96">
        <v>0</v>
      </c>
      <c r="D155" s="96">
        <v>12.848994924000003</v>
      </c>
      <c r="E155" s="113" t="s">
        <v>126</v>
      </c>
      <c r="F155" s="96">
        <v>0</v>
      </c>
      <c r="G155" s="96">
        <v>165.36102015000003</v>
      </c>
      <c r="H155" s="113" t="s">
        <v>126</v>
      </c>
      <c r="I155" s="113">
        <v>7.6921352412837276</v>
      </c>
      <c r="J155" s="103">
        <v>0</v>
      </c>
      <c r="K155" s="103">
        <v>1</v>
      </c>
      <c r="L155" s="113" t="s">
        <v>126</v>
      </c>
      <c r="M155" s="103">
        <v>0</v>
      </c>
      <c r="N155" s="103">
        <v>29</v>
      </c>
      <c r="O155" s="113" t="s">
        <v>126</v>
      </c>
      <c r="P155" s="113">
        <v>0.72627097420485853</v>
      </c>
      <c r="Q155" s="106">
        <v>0</v>
      </c>
      <c r="R155" s="106">
        <v>520786</v>
      </c>
      <c r="S155" s="113" t="s">
        <v>126</v>
      </c>
      <c r="T155" s="106">
        <v>0</v>
      </c>
      <c r="U155" s="106">
        <v>3353568</v>
      </c>
      <c r="V155" s="113" t="s">
        <v>126</v>
      </c>
      <c r="W155" s="113">
        <v>41.38459036194832</v>
      </c>
      <c r="X155" s="96">
        <v>0</v>
      </c>
      <c r="Y155" s="96">
        <v>780.7944043</v>
      </c>
      <c r="Z155" s="113" t="s">
        <v>126</v>
      </c>
      <c r="AA155" s="96">
        <v>0</v>
      </c>
      <c r="AB155" s="96">
        <v>10277.1460484</v>
      </c>
      <c r="AC155" s="113" t="s">
        <v>126</v>
      </c>
      <c r="AD155" s="113">
        <v>11.236136478812035</v>
      </c>
      <c r="AE155" s="113"/>
      <c r="AF155" s="113"/>
      <c r="AG155" s="96"/>
      <c r="AH155" s="96"/>
      <c r="AI155" s="113"/>
      <c r="AJ155" s="96"/>
      <c r="AK155" s="96"/>
      <c r="AL155" s="113"/>
      <c r="AM155" s="113"/>
    </row>
    <row r="156" spans="1:39" s="21" customFormat="1" ht="15">
      <c r="A156" s="152"/>
      <c r="B156" s="142" t="s">
        <v>83</v>
      </c>
      <c r="C156" s="96">
        <v>11.537823705999998</v>
      </c>
      <c r="D156" s="96">
        <v>8.4732069140000021</v>
      </c>
      <c r="E156" s="113">
        <v>-26.561480484454858</v>
      </c>
      <c r="F156" s="96">
        <v>317.50881931399994</v>
      </c>
      <c r="G156" s="96">
        <v>132.48235082100035</v>
      </c>
      <c r="H156" s="113">
        <v>-58.274434358315538</v>
      </c>
      <c r="I156" s="113">
        <v>1.1879032905086733</v>
      </c>
      <c r="J156" s="103">
        <v>6</v>
      </c>
      <c r="K156" s="103">
        <v>4</v>
      </c>
      <c r="L156" s="113">
        <v>-33.333333333333336</v>
      </c>
      <c r="M156" s="103">
        <v>43</v>
      </c>
      <c r="N156" s="103">
        <v>55</v>
      </c>
      <c r="O156" s="113">
        <v>27.906976744186053</v>
      </c>
      <c r="P156" s="113">
        <v>0.19996364297400473</v>
      </c>
      <c r="Q156" s="106">
        <v>459588</v>
      </c>
      <c r="R156" s="106">
        <v>48642</v>
      </c>
      <c r="S156" s="113">
        <v>-89.416172746024699</v>
      </c>
      <c r="T156" s="106">
        <v>5467356</v>
      </c>
      <c r="U156" s="106">
        <v>868239</v>
      </c>
      <c r="V156" s="113">
        <v>-84.119581750301236</v>
      </c>
      <c r="W156" s="113">
        <v>1.099090397339789</v>
      </c>
      <c r="X156" s="96">
        <v>1760.0084486189999</v>
      </c>
      <c r="Y156" s="96">
        <v>3181.4936116000003</v>
      </c>
      <c r="Z156" s="113">
        <v>80.76581473778586</v>
      </c>
      <c r="AA156" s="96">
        <v>28387.953885199997</v>
      </c>
      <c r="AB156" s="96">
        <v>82525.077024800019</v>
      </c>
      <c r="AC156" s="113">
        <v>190.70456207773506</v>
      </c>
      <c r="AD156" s="113">
        <v>2.1680691130290017</v>
      </c>
      <c r="AE156" s="113"/>
      <c r="AF156" s="113"/>
      <c r="AG156" s="96"/>
      <c r="AH156" s="96"/>
      <c r="AI156" s="113"/>
      <c r="AJ156" s="96"/>
      <c r="AK156" s="96"/>
      <c r="AL156" s="113"/>
      <c r="AM156" s="113"/>
    </row>
    <row r="157" spans="1:39" s="21" customFormat="1">
      <c r="A157" s="152"/>
      <c r="B157" s="144"/>
      <c r="C157" s="104"/>
      <c r="D157" s="104"/>
      <c r="E157" s="113"/>
      <c r="F157" s="104"/>
      <c r="G157" s="104"/>
      <c r="H157" s="113"/>
      <c r="I157" s="110"/>
      <c r="J157" s="103"/>
      <c r="K157" s="103"/>
      <c r="L157" s="113"/>
      <c r="M157" s="103"/>
      <c r="N157" s="103"/>
      <c r="O157" s="113"/>
      <c r="P157" s="113"/>
      <c r="Q157" s="103"/>
      <c r="R157" s="103"/>
      <c r="S157" s="113"/>
      <c r="T157" s="103"/>
      <c r="U157" s="103"/>
      <c r="V157" s="113"/>
      <c r="W157" s="113"/>
      <c r="X157" s="96"/>
      <c r="Y157" s="96"/>
      <c r="Z157" s="113"/>
      <c r="AA157" s="96"/>
      <c r="AB157" s="96"/>
      <c r="AC157" s="113"/>
      <c r="AD157" s="113"/>
      <c r="AE157" s="113"/>
      <c r="AF157" s="113"/>
      <c r="AG157" s="96"/>
      <c r="AH157" s="96"/>
      <c r="AI157" s="113"/>
      <c r="AJ157" s="96"/>
      <c r="AK157" s="96"/>
      <c r="AL157" s="113"/>
      <c r="AM157" s="113"/>
    </row>
    <row r="158" spans="1:39" s="20" customFormat="1" ht="15">
      <c r="A158" s="16">
        <v>23</v>
      </c>
      <c r="B158" s="139" t="s">
        <v>104</v>
      </c>
      <c r="C158" s="101">
        <v>238.30933559999997</v>
      </c>
      <c r="D158" s="101">
        <v>636.73832762500922</v>
      </c>
      <c r="E158" s="110">
        <v>167.18983795656612</v>
      </c>
      <c r="F158" s="101">
        <v>2480.9921177950037</v>
      </c>
      <c r="G158" s="101">
        <v>3499.8184987060099</v>
      </c>
      <c r="H158" s="110">
        <v>41.065280844845816</v>
      </c>
      <c r="I158" s="110">
        <v>1.1440602079300557</v>
      </c>
      <c r="J158" s="102">
        <v>13135</v>
      </c>
      <c r="K158" s="102">
        <v>27295</v>
      </c>
      <c r="L158" s="110">
        <v>107.80357822611344</v>
      </c>
      <c r="M158" s="101">
        <v>148842</v>
      </c>
      <c r="N158" s="101">
        <v>146770</v>
      </c>
      <c r="O158" s="110">
        <v>-1.3920801924188098</v>
      </c>
      <c r="P158" s="110">
        <v>0.70807907270539705</v>
      </c>
      <c r="Q158" s="102">
        <v>162147</v>
      </c>
      <c r="R158" s="102">
        <v>475952</v>
      </c>
      <c r="S158" s="110">
        <v>193.53117849852293</v>
      </c>
      <c r="T158" s="102">
        <v>3230564</v>
      </c>
      <c r="U158" s="102">
        <v>2386933</v>
      </c>
      <c r="V158" s="110">
        <v>-26.114046958983018</v>
      </c>
      <c r="W158" s="110">
        <v>1.114614772158127</v>
      </c>
      <c r="X158" s="101">
        <v>7482.7516581000009</v>
      </c>
      <c r="Y158" s="101">
        <v>15818.754946999998</v>
      </c>
      <c r="Z158" s="110">
        <v>111.40291258866463</v>
      </c>
      <c r="AA158" s="101">
        <v>135061.13055430001</v>
      </c>
      <c r="AB158" s="101">
        <v>80455.308412499988</v>
      </c>
      <c r="AC158" s="110">
        <v>-40.430449469580211</v>
      </c>
      <c r="AD158" s="110">
        <v>0.95895425293613945</v>
      </c>
      <c r="AE158" s="110"/>
      <c r="AF158" s="110"/>
      <c r="AG158" s="101"/>
      <c r="AH158" s="101"/>
      <c r="AI158" s="110"/>
      <c r="AJ158" s="101"/>
      <c r="AK158" s="101"/>
      <c r="AL158" s="110"/>
      <c r="AM158" s="110"/>
    </row>
    <row r="159" spans="1:39" s="21" customFormat="1">
      <c r="A159" s="152"/>
      <c r="B159" s="141" t="s">
        <v>79</v>
      </c>
      <c r="C159" s="96">
        <v>3.7106701000000002</v>
      </c>
      <c r="D159" s="96">
        <v>4.2552699999999994</v>
      </c>
      <c r="E159" s="113">
        <v>14.676591702398966</v>
      </c>
      <c r="F159" s="96">
        <v>57.334104399999994</v>
      </c>
      <c r="G159" s="96">
        <v>71.155469600000004</v>
      </c>
      <c r="H159" s="113">
        <v>24.106708118388287</v>
      </c>
      <c r="I159" s="113">
        <v>0.17953937309547516</v>
      </c>
      <c r="J159" s="103">
        <v>155</v>
      </c>
      <c r="K159" s="103">
        <v>167</v>
      </c>
      <c r="L159" s="113">
        <v>7.7419354838709653</v>
      </c>
      <c r="M159" s="103">
        <v>1742</v>
      </c>
      <c r="N159" s="103">
        <v>2289</v>
      </c>
      <c r="O159" s="113">
        <v>31.400688863375436</v>
      </c>
      <c r="P159" s="113">
        <v>0.21869628732239885</v>
      </c>
      <c r="Q159" s="103"/>
      <c r="R159" s="103"/>
      <c r="S159" s="113" t="s">
        <v>126</v>
      </c>
      <c r="T159" s="103"/>
      <c r="U159" s="103"/>
      <c r="V159" s="113" t="s">
        <v>126</v>
      </c>
      <c r="W159" s="113" t="s">
        <v>126</v>
      </c>
      <c r="X159" s="96">
        <v>5.3427670000000003</v>
      </c>
      <c r="Y159" s="96">
        <v>4.6901383999999995</v>
      </c>
      <c r="Z159" s="113">
        <v>-12.215179887125915</v>
      </c>
      <c r="AA159" s="96">
        <v>67.725783399999997</v>
      </c>
      <c r="AB159" s="96">
        <v>85.546818099999996</v>
      </c>
      <c r="AC159" s="113">
        <v>26.313515776917541</v>
      </c>
      <c r="AD159" s="113">
        <v>0.27184103903885526</v>
      </c>
      <c r="AE159" s="113"/>
      <c r="AF159" s="113"/>
      <c r="AG159" s="96"/>
      <c r="AH159" s="96"/>
      <c r="AI159" s="113"/>
      <c r="AJ159" s="96"/>
      <c r="AK159" s="96"/>
      <c r="AL159" s="113"/>
      <c r="AM159" s="113"/>
    </row>
    <row r="160" spans="1:39" s="21" customFormat="1">
      <c r="A160" s="152"/>
      <c r="B160" s="141" t="s">
        <v>80</v>
      </c>
      <c r="C160" s="96">
        <v>132.72598178300001</v>
      </c>
      <c r="D160" s="96">
        <v>275.84781526200925</v>
      </c>
      <c r="E160" s="113">
        <v>107.83256718568177</v>
      </c>
      <c r="F160" s="96">
        <v>1150.107011458</v>
      </c>
      <c r="G160" s="96">
        <v>1344.2141270260097</v>
      </c>
      <c r="H160" s="113">
        <v>16.877309122908368</v>
      </c>
      <c r="I160" s="113">
        <v>1.5101479420639627</v>
      </c>
      <c r="J160" s="103">
        <v>12973</v>
      </c>
      <c r="K160" s="103">
        <v>27117</v>
      </c>
      <c r="L160" s="113">
        <v>109.02643952825098</v>
      </c>
      <c r="M160" s="103">
        <v>147027</v>
      </c>
      <c r="N160" s="103">
        <v>144405</v>
      </c>
      <c r="O160" s="113">
        <v>-1.7833459160562337</v>
      </c>
      <c r="P160" s="113">
        <v>0.73499546497033141</v>
      </c>
      <c r="Q160" s="103"/>
      <c r="R160" s="103"/>
      <c r="S160" s="113" t="s">
        <v>126</v>
      </c>
      <c r="T160" s="103"/>
      <c r="U160" s="103"/>
      <c r="V160" s="113" t="s">
        <v>126</v>
      </c>
      <c r="W160" s="113" t="s">
        <v>126</v>
      </c>
      <c r="X160" s="96">
        <v>1107.4236398000003</v>
      </c>
      <c r="Y160" s="96">
        <v>3269.6371204999996</v>
      </c>
      <c r="Z160" s="113">
        <v>195.24718481632678</v>
      </c>
      <c r="AA160" s="96">
        <v>12423.921515799999</v>
      </c>
      <c r="AB160" s="96">
        <v>16368.1859879</v>
      </c>
      <c r="AC160" s="113">
        <v>31.747338930658266</v>
      </c>
      <c r="AD160" s="113">
        <v>0.61782293842048042</v>
      </c>
      <c r="AE160" s="113"/>
      <c r="AF160" s="113"/>
      <c r="AG160" s="96"/>
      <c r="AH160" s="96"/>
      <c r="AI160" s="113"/>
      <c r="AJ160" s="96"/>
      <c r="AK160" s="96"/>
      <c r="AL160" s="113"/>
      <c r="AM160" s="113"/>
    </row>
    <row r="161" spans="1:39">
      <c r="A161" s="152"/>
      <c r="B161" s="141" t="s">
        <v>81</v>
      </c>
      <c r="C161" s="96">
        <v>96.181928683999999</v>
      </c>
      <c r="D161" s="96">
        <v>343.20474560000002</v>
      </c>
      <c r="E161" s="113">
        <v>256.82872062960888</v>
      </c>
      <c r="F161" s="96">
        <v>1098.3013645370002</v>
      </c>
      <c r="G161" s="96">
        <v>1998.077345784</v>
      </c>
      <c r="H161" s="113">
        <v>81.924325171562501</v>
      </c>
      <c r="I161" s="113">
        <v>1.2185968715298239</v>
      </c>
      <c r="J161" s="103">
        <v>3</v>
      </c>
      <c r="K161" s="103">
        <v>3</v>
      </c>
      <c r="L161" s="113">
        <v>0</v>
      </c>
      <c r="M161" s="103">
        <v>27</v>
      </c>
      <c r="N161" s="103">
        <v>21</v>
      </c>
      <c r="O161" s="113">
        <v>-22.222222222222221</v>
      </c>
      <c r="P161" s="113">
        <v>0.77893175074183973</v>
      </c>
      <c r="Q161" s="103">
        <v>9569</v>
      </c>
      <c r="R161" s="103">
        <v>7310</v>
      </c>
      <c r="S161" s="113">
        <v>-23.607482495558575</v>
      </c>
      <c r="T161" s="103">
        <v>94895</v>
      </c>
      <c r="U161" s="103">
        <v>97661</v>
      </c>
      <c r="V161" s="113">
        <v>2.9148005690500023</v>
      </c>
      <c r="W161" s="113">
        <v>7.6868686699341743E-2</v>
      </c>
      <c r="X161" s="96">
        <v>1483.3995000000002</v>
      </c>
      <c r="Y161" s="96">
        <v>961.31295</v>
      </c>
      <c r="Z161" s="113">
        <v>-35.19527612082922</v>
      </c>
      <c r="AA161" s="96">
        <v>15398.224226999997</v>
      </c>
      <c r="AB161" s="96">
        <v>12071.543621999999</v>
      </c>
      <c r="AC161" s="113">
        <v>-21.604313302353617</v>
      </c>
      <c r="AD161" s="113">
        <v>0.66647683557220083</v>
      </c>
      <c r="AE161" s="113"/>
      <c r="AF161" s="113"/>
      <c r="AG161" s="96"/>
      <c r="AH161" s="96"/>
      <c r="AI161" s="113"/>
      <c r="AJ161" s="96"/>
      <c r="AK161" s="96"/>
      <c r="AL161" s="113"/>
      <c r="AM161" s="113"/>
    </row>
    <row r="162" spans="1:39">
      <c r="A162" s="152"/>
      <c r="B162" s="141" t="s">
        <v>82</v>
      </c>
      <c r="C162" s="96">
        <v>0</v>
      </c>
      <c r="D162" s="96">
        <v>0</v>
      </c>
      <c r="E162" s="113" t="s">
        <v>126</v>
      </c>
      <c r="F162" s="96">
        <v>-2.2929999999999999E-3</v>
      </c>
      <c r="G162" s="96">
        <v>0</v>
      </c>
      <c r="H162" s="113">
        <v>-100</v>
      </c>
      <c r="I162" s="113">
        <v>0</v>
      </c>
      <c r="J162" s="103">
        <v>0</v>
      </c>
      <c r="K162" s="103">
        <v>0</v>
      </c>
      <c r="L162" s="113" t="s">
        <v>126</v>
      </c>
      <c r="M162" s="103">
        <v>0</v>
      </c>
      <c r="N162" s="103">
        <v>0</v>
      </c>
      <c r="O162" s="113" t="s">
        <v>126</v>
      </c>
      <c r="P162" s="113">
        <v>0</v>
      </c>
      <c r="Q162" s="106">
        <v>0</v>
      </c>
      <c r="R162" s="106">
        <v>0</v>
      </c>
      <c r="S162" s="113" t="s">
        <v>126</v>
      </c>
      <c r="T162" s="106">
        <v>-1</v>
      </c>
      <c r="U162" s="106">
        <v>0</v>
      </c>
      <c r="V162" s="113">
        <v>-100</v>
      </c>
      <c r="W162" s="113">
        <v>0</v>
      </c>
      <c r="X162" s="96">
        <v>0</v>
      </c>
      <c r="Y162" s="96">
        <v>0</v>
      </c>
      <c r="Z162" s="113" t="s">
        <v>126</v>
      </c>
      <c r="AA162" s="96">
        <v>-0.40749999999999997</v>
      </c>
      <c r="AB162" s="96">
        <v>0</v>
      </c>
      <c r="AC162" s="113">
        <v>-100</v>
      </c>
      <c r="AD162" s="113">
        <v>0</v>
      </c>
      <c r="AE162" s="113"/>
      <c r="AF162" s="113"/>
      <c r="AG162" s="96"/>
      <c r="AH162" s="96"/>
      <c r="AI162" s="113"/>
      <c r="AJ162" s="96"/>
      <c r="AK162" s="96"/>
      <c r="AL162" s="113"/>
      <c r="AM162" s="113"/>
    </row>
    <row r="163" spans="1:39" ht="15">
      <c r="A163" s="152"/>
      <c r="B163" s="142" t="s">
        <v>83</v>
      </c>
      <c r="C163" s="96">
        <v>5.6907550329999994</v>
      </c>
      <c r="D163" s="96">
        <v>13.430496762999997</v>
      </c>
      <c r="E163" s="113">
        <v>136.0055332749024</v>
      </c>
      <c r="F163" s="96">
        <v>175.25193040000397</v>
      </c>
      <c r="G163" s="96">
        <v>86.371556295999994</v>
      </c>
      <c r="H163" s="113">
        <v>-50.715774657168609</v>
      </c>
      <c r="I163" s="113">
        <v>0.77445074981345952</v>
      </c>
      <c r="J163" s="103">
        <v>4</v>
      </c>
      <c r="K163" s="103">
        <v>8</v>
      </c>
      <c r="L163" s="113">
        <v>100</v>
      </c>
      <c r="M163" s="103">
        <v>46</v>
      </c>
      <c r="N163" s="103">
        <v>55</v>
      </c>
      <c r="O163" s="113">
        <v>19.565217391304344</v>
      </c>
      <c r="P163" s="113">
        <v>0.19996364297400473</v>
      </c>
      <c r="Q163" s="106">
        <v>152578</v>
      </c>
      <c r="R163" s="106">
        <v>468642</v>
      </c>
      <c r="S163" s="113">
        <v>207.14913028090552</v>
      </c>
      <c r="T163" s="106">
        <v>3135670</v>
      </c>
      <c r="U163" s="106">
        <v>2289272</v>
      </c>
      <c r="V163" s="113">
        <v>-26.992572560250284</v>
      </c>
      <c r="W163" s="113">
        <v>2.8979542177889424</v>
      </c>
      <c r="X163" s="96">
        <v>4886.5857513000001</v>
      </c>
      <c r="Y163" s="96">
        <v>11583.114738099999</v>
      </c>
      <c r="Z163" s="113">
        <v>137.03901512458862</v>
      </c>
      <c r="AA163" s="96">
        <v>107171.66652810002</v>
      </c>
      <c r="AB163" s="96">
        <v>51930.03198449999</v>
      </c>
      <c r="AC163" s="113">
        <v>-51.544999096487757</v>
      </c>
      <c r="AD163" s="113">
        <v>1.3642871045169485</v>
      </c>
      <c r="AE163" s="113"/>
      <c r="AF163" s="113"/>
      <c r="AG163" s="96"/>
      <c r="AH163" s="96"/>
      <c r="AI163" s="113"/>
      <c r="AJ163" s="96"/>
      <c r="AK163" s="96"/>
      <c r="AL163" s="113"/>
      <c r="AM163" s="113"/>
    </row>
    <row r="164" spans="1:39">
      <c r="A164" s="152"/>
      <c r="B164" s="144"/>
      <c r="C164" s="104"/>
      <c r="D164" s="104"/>
      <c r="E164" s="113"/>
      <c r="F164" s="104"/>
      <c r="G164" s="104"/>
      <c r="H164" s="113"/>
      <c r="I164" s="110"/>
      <c r="J164" s="103"/>
      <c r="K164" s="103"/>
      <c r="L164" s="113"/>
      <c r="M164" s="103"/>
      <c r="N164" s="103"/>
      <c r="O164" s="113"/>
      <c r="P164" s="113"/>
      <c r="Q164" s="103"/>
      <c r="R164" s="103"/>
      <c r="S164" s="113"/>
      <c r="T164" s="103"/>
      <c r="U164" s="103"/>
      <c r="V164" s="113"/>
      <c r="W164" s="113"/>
      <c r="X164" s="96"/>
      <c r="Y164" s="96"/>
      <c r="Z164" s="113"/>
      <c r="AA164" s="96"/>
      <c r="AB164" s="96"/>
      <c r="AC164" s="113"/>
      <c r="AD164" s="113"/>
      <c r="AE164" s="113"/>
      <c r="AF164" s="113"/>
      <c r="AG164" s="96"/>
      <c r="AH164" s="96"/>
      <c r="AI164" s="113"/>
      <c r="AJ164" s="96"/>
      <c r="AK164" s="96"/>
      <c r="AL164" s="113"/>
      <c r="AM164" s="113"/>
    </row>
    <row r="165" spans="1:39" s="138" customFormat="1" ht="15">
      <c r="A165" s="16">
        <v>24</v>
      </c>
      <c r="B165" s="139" t="s">
        <v>105</v>
      </c>
      <c r="C165" s="101">
        <v>755.99714470100025</v>
      </c>
      <c r="D165" s="101">
        <v>858.99826852500007</v>
      </c>
      <c r="E165" s="110">
        <v>13.624538736153191</v>
      </c>
      <c r="F165" s="101">
        <v>6560.4887269635738</v>
      </c>
      <c r="G165" s="101">
        <v>7794.4663930389779</v>
      </c>
      <c r="H165" s="110">
        <v>18.809233845700589</v>
      </c>
      <c r="I165" s="110">
        <v>2.5479432278048186</v>
      </c>
      <c r="J165" s="102">
        <v>72221</v>
      </c>
      <c r="K165" s="102">
        <v>89357</v>
      </c>
      <c r="L165" s="110">
        <v>23.727170767505299</v>
      </c>
      <c r="M165" s="101">
        <v>578672</v>
      </c>
      <c r="N165" s="101">
        <v>741786</v>
      </c>
      <c r="O165" s="110">
        <v>28.187643431857779</v>
      </c>
      <c r="P165" s="110">
        <v>3.578681903834882</v>
      </c>
      <c r="Q165" s="102">
        <v>150935</v>
      </c>
      <c r="R165" s="102">
        <v>186316</v>
      </c>
      <c r="S165" s="110">
        <v>23.441216417663234</v>
      </c>
      <c r="T165" s="102">
        <v>1833360</v>
      </c>
      <c r="U165" s="102">
        <v>2153346</v>
      </c>
      <c r="V165" s="110">
        <v>17.453527948684378</v>
      </c>
      <c r="W165" s="110">
        <v>1.0055377596135351</v>
      </c>
      <c r="X165" s="101">
        <v>71101.481766555997</v>
      </c>
      <c r="Y165" s="101">
        <v>87060.510612453014</v>
      </c>
      <c r="Z165" s="110">
        <v>22.445423709022716</v>
      </c>
      <c r="AA165" s="101">
        <v>685703.89155289414</v>
      </c>
      <c r="AB165" s="101">
        <v>830938.12676438084</v>
      </c>
      <c r="AC165" s="110">
        <v>21.180313689423414</v>
      </c>
      <c r="AD165" s="110">
        <v>9.904028289868462</v>
      </c>
      <c r="AE165" s="110"/>
      <c r="AF165" s="110"/>
      <c r="AG165" s="101"/>
      <c r="AH165" s="101"/>
      <c r="AI165" s="110"/>
      <c r="AJ165" s="101"/>
      <c r="AK165" s="101"/>
      <c r="AL165" s="110"/>
      <c r="AM165" s="110"/>
    </row>
    <row r="166" spans="1:39" ht="15" customHeight="1">
      <c r="A166" s="152"/>
      <c r="B166" s="141" t="s">
        <v>79</v>
      </c>
      <c r="C166" s="96">
        <v>56.136159499999991</v>
      </c>
      <c r="D166" s="96">
        <v>63.87361954</v>
      </c>
      <c r="E166" s="113">
        <v>13.783379748306457</v>
      </c>
      <c r="F166" s="96">
        <v>711.11178825100012</v>
      </c>
      <c r="G166" s="96">
        <v>704.76405137799998</v>
      </c>
      <c r="H166" s="113">
        <v>-0.89264964775968014</v>
      </c>
      <c r="I166" s="113">
        <v>1.7782595867322244</v>
      </c>
      <c r="J166" s="103">
        <v>935</v>
      </c>
      <c r="K166" s="103">
        <v>1192</v>
      </c>
      <c r="L166" s="113">
        <v>27.486631016042786</v>
      </c>
      <c r="M166" s="103">
        <v>8065</v>
      </c>
      <c r="N166" s="103">
        <v>14703</v>
      </c>
      <c r="O166" s="113">
        <v>82.30626162430255</v>
      </c>
      <c r="P166" s="113">
        <v>1.4047581968113718</v>
      </c>
      <c r="Q166" s="103"/>
      <c r="R166" s="103"/>
      <c r="S166" s="113" t="s">
        <v>126</v>
      </c>
      <c r="T166" s="103"/>
      <c r="U166" s="103"/>
      <c r="V166" s="113" t="s">
        <v>126</v>
      </c>
      <c r="W166" s="113" t="s">
        <v>126</v>
      </c>
      <c r="X166" s="96">
        <v>76.577927399999993</v>
      </c>
      <c r="Y166" s="96">
        <v>99.872419900000011</v>
      </c>
      <c r="Z166" s="113">
        <v>30.419330074477855</v>
      </c>
      <c r="AA166" s="96">
        <v>992.08040399999993</v>
      </c>
      <c r="AB166" s="96">
        <v>1138.1117159</v>
      </c>
      <c r="AC166" s="113">
        <v>14.719705309288633</v>
      </c>
      <c r="AD166" s="113">
        <v>3.6165631669771061</v>
      </c>
      <c r="AE166" s="113"/>
      <c r="AF166" s="113"/>
      <c r="AG166" s="96"/>
      <c r="AH166" s="96"/>
      <c r="AI166" s="113"/>
      <c r="AJ166" s="96"/>
      <c r="AK166" s="96"/>
      <c r="AL166" s="113"/>
      <c r="AM166" s="113"/>
    </row>
    <row r="167" spans="1:39" s="21" customFormat="1">
      <c r="A167" s="152"/>
      <c r="B167" s="141" t="s">
        <v>80</v>
      </c>
      <c r="C167" s="96">
        <v>637.26176905199998</v>
      </c>
      <c r="D167" s="96">
        <v>722.06925028199998</v>
      </c>
      <c r="E167" s="113">
        <v>13.308107491864906</v>
      </c>
      <c r="F167" s="96">
        <v>5313.3071250520006</v>
      </c>
      <c r="G167" s="96">
        <v>6354.9495912809998</v>
      </c>
      <c r="H167" s="113">
        <v>19.604409113068243</v>
      </c>
      <c r="I167" s="113">
        <v>7.1394235890272908</v>
      </c>
      <c r="J167" s="103">
        <v>71259</v>
      </c>
      <c r="K167" s="103">
        <v>88132</v>
      </c>
      <c r="L167" s="113">
        <v>23.67841255139702</v>
      </c>
      <c r="M167" s="103">
        <v>570261</v>
      </c>
      <c r="N167" s="103">
        <v>726688</v>
      </c>
      <c r="O167" s="113">
        <v>27.430772926782645</v>
      </c>
      <c r="P167" s="113">
        <v>3.6987111557657992</v>
      </c>
      <c r="Q167" s="103"/>
      <c r="R167" s="103"/>
      <c r="S167" s="113" t="s">
        <v>126</v>
      </c>
      <c r="T167" s="103"/>
      <c r="U167" s="103"/>
      <c r="V167" s="113" t="s">
        <v>126</v>
      </c>
      <c r="W167" s="113" t="s">
        <v>126</v>
      </c>
      <c r="X167" s="96">
        <v>58235.4501284</v>
      </c>
      <c r="Y167" s="96">
        <v>71867.14944020001</v>
      </c>
      <c r="Z167" s="113">
        <v>23.407905806075611</v>
      </c>
      <c r="AA167" s="96">
        <v>445399.98225860001</v>
      </c>
      <c r="AB167" s="96">
        <v>650343.95326399989</v>
      </c>
      <c r="AC167" s="113">
        <v>46.013466360312762</v>
      </c>
      <c r="AD167" s="113">
        <v>24.547461306132533</v>
      </c>
      <c r="AE167" s="113"/>
      <c r="AF167" s="113"/>
      <c r="AG167" s="96"/>
      <c r="AH167" s="96"/>
      <c r="AI167" s="113"/>
      <c r="AJ167" s="96"/>
      <c r="AK167" s="96"/>
      <c r="AL167" s="113"/>
      <c r="AM167" s="113"/>
    </row>
    <row r="168" spans="1:39" s="21" customFormat="1">
      <c r="A168" s="152"/>
      <c r="B168" s="141" t="s">
        <v>81</v>
      </c>
      <c r="C168" s="96">
        <v>23.05684768500004</v>
      </c>
      <c r="D168" s="96">
        <v>35.705388877000075</v>
      </c>
      <c r="E168" s="113">
        <v>54.858068044699458</v>
      </c>
      <c r="F168" s="96">
        <v>224.72090064759107</v>
      </c>
      <c r="G168" s="96">
        <v>293.77484999400372</v>
      </c>
      <c r="H168" s="113">
        <v>30.728761386865202</v>
      </c>
      <c r="I168" s="113">
        <v>0.17916879638929489</v>
      </c>
      <c r="J168" s="103">
        <v>1</v>
      </c>
      <c r="K168" s="103">
        <v>0</v>
      </c>
      <c r="L168" s="113">
        <v>-100</v>
      </c>
      <c r="M168" s="103">
        <v>7</v>
      </c>
      <c r="N168" s="103">
        <v>18</v>
      </c>
      <c r="O168" s="113">
        <v>157.14285714285717</v>
      </c>
      <c r="P168" s="113">
        <v>0.66765578635014833</v>
      </c>
      <c r="Q168" s="103">
        <v>12345</v>
      </c>
      <c r="R168" s="103">
        <v>17913</v>
      </c>
      <c r="S168" s="113">
        <v>45.103280680437429</v>
      </c>
      <c r="T168" s="103">
        <v>196892</v>
      </c>
      <c r="U168" s="103">
        <v>185217</v>
      </c>
      <c r="V168" s="113">
        <v>-5.9296467098714061</v>
      </c>
      <c r="W168" s="113">
        <v>0.14578375753260747</v>
      </c>
      <c r="X168" s="96">
        <v>1491.2529420000001</v>
      </c>
      <c r="Y168" s="96">
        <v>2216.5833994999998</v>
      </c>
      <c r="Z168" s="113">
        <v>48.638995912203868</v>
      </c>
      <c r="AA168" s="96">
        <v>18720.589936799999</v>
      </c>
      <c r="AB168" s="96">
        <v>20444.897999052002</v>
      </c>
      <c r="AC168" s="113">
        <v>9.2107570758891875</v>
      </c>
      <c r="AD168" s="113">
        <v>1.1287745253367232</v>
      </c>
      <c r="AE168" s="113"/>
      <c r="AF168" s="113"/>
      <c r="AG168" s="96"/>
      <c r="AH168" s="96"/>
      <c r="AI168" s="113"/>
      <c r="AJ168" s="96"/>
      <c r="AK168" s="96"/>
      <c r="AL168" s="113"/>
      <c r="AM168" s="113"/>
    </row>
    <row r="169" spans="1:39" s="21" customFormat="1">
      <c r="A169" s="152"/>
      <c r="B169" s="141" t="s">
        <v>82</v>
      </c>
      <c r="C169" s="96">
        <v>0.31879349499999998</v>
      </c>
      <c r="D169" s="96">
        <v>6.9105144999999993E-2</v>
      </c>
      <c r="E169" s="113">
        <v>-78.322912454659715</v>
      </c>
      <c r="F169" s="96">
        <v>3.0957824340000002</v>
      </c>
      <c r="G169" s="96">
        <v>2.4059134980000003</v>
      </c>
      <c r="H169" s="113">
        <v>-22.284154352172404</v>
      </c>
      <c r="I169" s="113">
        <v>0.11191641167101259</v>
      </c>
      <c r="J169" s="103">
        <v>0</v>
      </c>
      <c r="K169" s="103">
        <v>0</v>
      </c>
      <c r="L169" s="113" t="s">
        <v>126</v>
      </c>
      <c r="M169" s="103">
        <v>0</v>
      </c>
      <c r="N169" s="103">
        <v>0</v>
      </c>
      <c r="O169" s="113" t="s">
        <v>126</v>
      </c>
      <c r="P169" s="113">
        <v>0</v>
      </c>
      <c r="Q169" s="106">
        <v>0</v>
      </c>
      <c r="R169" s="106">
        <v>0</v>
      </c>
      <c r="S169" s="113" t="s">
        <v>126</v>
      </c>
      <c r="T169" s="106">
        <v>0</v>
      </c>
      <c r="U169" s="106">
        <v>0</v>
      </c>
      <c r="V169" s="113" t="s">
        <v>126</v>
      </c>
      <c r="W169" s="113">
        <v>0</v>
      </c>
      <c r="X169" s="96">
        <v>0</v>
      </c>
      <c r="Y169" s="96">
        <v>0</v>
      </c>
      <c r="Z169" s="113" t="s">
        <v>126</v>
      </c>
      <c r="AA169" s="96">
        <v>0</v>
      </c>
      <c r="AB169" s="96">
        <v>0</v>
      </c>
      <c r="AC169" s="113" t="s">
        <v>126</v>
      </c>
      <c r="AD169" s="113">
        <v>0</v>
      </c>
      <c r="AE169" s="113"/>
      <c r="AF169" s="113"/>
      <c r="AG169" s="96"/>
      <c r="AH169" s="96"/>
      <c r="AI169" s="113"/>
      <c r="AJ169" s="96"/>
      <c r="AK169" s="96"/>
      <c r="AL169" s="113"/>
      <c r="AM169" s="113"/>
    </row>
    <row r="170" spans="1:39" s="21" customFormat="1" ht="15">
      <c r="A170" s="152"/>
      <c r="B170" s="142" t="s">
        <v>83</v>
      </c>
      <c r="C170" s="96">
        <v>39.223574969000218</v>
      </c>
      <c r="D170" s="96">
        <v>37.280904681000067</v>
      </c>
      <c r="E170" s="113">
        <v>-4.9528129180869236</v>
      </c>
      <c r="F170" s="96">
        <v>308.25313057898182</v>
      </c>
      <c r="G170" s="96">
        <v>438.57198688797553</v>
      </c>
      <c r="H170" s="113">
        <v>42.276571875919004</v>
      </c>
      <c r="I170" s="113">
        <v>3.9324566866499917</v>
      </c>
      <c r="J170" s="103">
        <v>26</v>
      </c>
      <c r="K170" s="103">
        <v>33</v>
      </c>
      <c r="L170" s="113">
        <v>26.923076923076916</v>
      </c>
      <c r="M170" s="103">
        <v>339</v>
      </c>
      <c r="N170" s="103">
        <v>377</v>
      </c>
      <c r="O170" s="113">
        <v>11.209439528023601</v>
      </c>
      <c r="P170" s="113">
        <v>1.3706598800218142</v>
      </c>
      <c r="Q170" s="106">
        <v>138590</v>
      </c>
      <c r="R170" s="106">
        <v>168403</v>
      </c>
      <c r="S170" s="113">
        <v>21.511653077422622</v>
      </c>
      <c r="T170" s="106">
        <v>1636468</v>
      </c>
      <c r="U170" s="106">
        <v>1968129</v>
      </c>
      <c r="V170" s="113">
        <v>20.266879645675928</v>
      </c>
      <c r="W170" s="113">
        <v>2.4914242329887988</v>
      </c>
      <c r="X170" s="96">
        <v>11298.200768756</v>
      </c>
      <c r="Y170" s="96">
        <v>12876.905352853</v>
      </c>
      <c r="Z170" s="113">
        <v>13.973061874265369</v>
      </c>
      <c r="AA170" s="96">
        <v>220591.23895349418</v>
      </c>
      <c r="AB170" s="96">
        <v>159011.16378542903</v>
      </c>
      <c r="AC170" s="113">
        <v>-27.915920623233671</v>
      </c>
      <c r="AD170" s="113">
        <v>4.1774840479868045</v>
      </c>
      <c r="AE170" s="113"/>
      <c r="AF170" s="113"/>
      <c r="AG170" s="96"/>
      <c r="AH170" s="96"/>
      <c r="AI170" s="113"/>
      <c r="AJ170" s="96"/>
      <c r="AK170" s="96"/>
      <c r="AL170" s="113"/>
      <c r="AM170" s="113"/>
    </row>
    <row r="171" spans="1:39" s="21" customFormat="1">
      <c r="A171" s="152"/>
      <c r="B171" s="144"/>
      <c r="C171" s="104"/>
      <c r="D171" s="104"/>
      <c r="E171" s="104"/>
      <c r="F171" s="104"/>
      <c r="G171" s="104"/>
      <c r="H171" s="104"/>
      <c r="I171" s="104"/>
      <c r="J171" s="103"/>
      <c r="K171" s="104"/>
      <c r="L171" s="104"/>
      <c r="M171" s="103"/>
      <c r="N171" s="104"/>
      <c r="O171" s="104"/>
      <c r="P171" s="104"/>
      <c r="Q171" s="103"/>
      <c r="R171" s="104"/>
      <c r="S171" s="104"/>
      <c r="T171" s="103"/>
      <c r="U171" s="104"/>
      <c r="V171" s="104"/>
      <c r="W171" s="104"/>
      <c r="X171" s="96"/>
      <c r="Y171" s="104"/>
      <c r="Z171" s="104"/>
      <c r="AA171" s="96"/>
      <c r="AB171" s="104"/>
      <c r="AC171" s="104"/>
      <c r="AD171" s="104"/>
      <c r="AE171" s="113"/>
      <c r="AF171" s="113"/>
      <c r="AG171" s="96"/>
      <c r="AH171" s="96"/>
      <c r="AI171" s="113"/>
      <c r="AJ171" s="96"/>
      <c r="AK171" s="96"/>
      <c r="AL171" s="113"/>
      <c r="AM171" s="113"/>
    </row>
    <row r="172" spans="1:39" s="20" customFormat="1" ht="15">
      <c r="A172" s="18"/>
      <c r="B172" s="139" t="s">
        <v>106</v>
      </c>
      <c r="C172" s="129">
        <v>14638.983670493901</v>
      </c>
      <c r="D172" s="129">
        <v>14532.502930811381</v>
      </c>
      <c r="E172" s="110">
        <v>-0.72737795245404469</v>
      </c>
      <c r="F172" s="129">
        <v>117507.15246116828</v>
      </c>
      <c r="G172" s="129">
        <v>131663.46652325589</v>
      </c>
      <c r="H172" s="110">
        <v>12.047193524467147</v>
      </c>
      <c r="I172" s="110">
        <v>43.039641325137559</v>
      </c>
      <c r="J172" s="133">
        <v>764164</v>
      </c>
      <c r="K172" s="133">
        <v>811119</v>
      </c>
      <c r="L172" s="110">
        <v>6.1446234054469917</v>
      </c>
      <c r="M172" s="133">
        <v>6697492</v>
      </c>
      <c r="N172" s="133">
        <v>7260292</v>
      </c>
      <c r="O172" s="110">
        <v>8.4031455356721629</v>
      </c>
      <c r="P172" s="110">
        <v>35.02664595578397</v>
      </c>
      <c r="Q172" s="133">
        <v>17753949</v>
      </c>
      <c r="R172" s="133">
        <v>17529895</v>
      </c>
      <c r="S172" s="110">
        <v>-1.2619952890480901</v>
      </c>
      <c r="T172" s="133">
        <v>213065087.398</v>
      </c>
      <c r="U172" s="133">
        <v>175846064</v>
      </c>
      <c r="V172" s="110">
        <v>-17.468382010646277</v>
      </c>
      <c r="W172" s="110">
        <v>82.114001758852638</v>
      </c>
      <c r="X172" s="133">
        <v>623216.66898857465</v>
      </c>
      <c r="Y172" s="133">
        <v>781565.24542501848</v>
      </c>
      <c r="Z172" s="110">
        <v>25.408270400313505</v>
      </c>
      <c r="AA172" s="133">
        <v>5777364.9309052415</v>
      </c>
      <c r="AB172" s="133">
        <v>6861259.3269664887</v>
      </c>
      <c r="AC172" s="110">
        <v>18.761051258214611</v>
      </c>
      <c r="AD172" s="110">
        <v>81.779983719135416</v>
      </c>
      <c r="AE172" s="110"/>
      <c r="AF172" s="110"/>
      <c r="AG172" s="102"/>
      <c r="AH172" s="133"/>
      <c r="AI172" s="110"/>
      <c r="AJ172" s="102"/>
      <c r="AK172" s="133"/>
      <c r="AL172" s="110"/>
      <c r="AM172" s="110"/>
    </row>
    <row r="173" spans="1:39">
      <c r="A173" s="153"/>
      <c r="B173" s="141" t="s">
        <v>79</v>
      </c>
      <c r="C173" s="96">
        <v>1631.2362765146538</v>
      </c>
      <c r="D173" s="96">
        <v>1813.9379573452052</v>
      </c>
      <c r="E173" s="113">
        <v>11.200197265163636</v>
      </c>
      <c r="F173" s="96">
        <v>15860.296128767353</v>
      </c>
      <c r="G173" s="96">
        <v>17269.395092498129</v>
      </c>
      <c r="H173" s="113">
        <v>8.8844429655695834</v>
      </c>
      <c r="I173" s="113">
        <v>43.57411153457118</v>
      </c>
      <c r="J173" s="103">
        <v>26901</v>
      </c>
      <c r="K173" s="103">
        <v>25645</v>
      </c>
      <c r="L173" s="113">
        <v>-4.6689714137020939</v>
      </c>
      <c r="M173" s="103">
        <v>213229</v>
      </c>
      <c r="N173" s="103">
        <v>250246</v>
      </c>
      <c r="O173" s="113">
        <v>17.360208977202916</v>
      </c>
      <c r="P173" s="113">
        <v>23.909074319476197</v>
      </c>
      <c r="Q173" s="103">
        <v>0</v>
      </c>
      <c r="R173" s="103">
        <v>0</v>
      </c>
      <c r="S173" s="113" t="s">
        <v>126</v>
      </c>
      <c r="T173" s="103">
        <v>0</v>
      </c>
      <c r="U173" s="103">
        <v>0</v>
      </c>
      <c r="V173" s="113" t="s">
        <v>126</v>
      </c>
      <c r="W173" s="113" t="s">
        <v>126</v>
      </c>
      <c r="X173" s="103">
        <v>1806.122085796</v>
      </c>
      <c r="Y173" s="103">
        <v>1298.2427984249971</v>
      </c>
      <c r="Z173" s="113">
        <v>-28.11987580270182</v>
      </c>
      <c r="AA173" s="103">
        <v>15073.926921537999</v>
      </c>
      <c r="AB173" s="103">
        <v>16128.603489908999</v>
      </c>
      <c r="AC173" s="113">
        <v>6.9966941850039932</v>
      </c>
      <c r="AD173" s="113">
        <v>51.251658779610054</v>
      </c>
      <c r="AE173" s="113"/>
      <c r="AF173" s="113"/>
      <c r="AG173" s="103"/>
      <c r="AH173" s="103"/>
      <c r="AI173" s="113"/>
      <c r="AJ173" s="103"/>
      <c r="AK173" s="103"/>
      <c r="AL173" s="113"/>
      <c r="AM173" s="113"/>
    </row>
    <row r="174" spans="1:39">
      <c r="A174" s="153"/>
      <c r="B174" s="141" t="s">
        <v>80</v>
      </c>
      <c r="C174" s="96">
        <v>6489.9477830208707</v>
      </c>
      <c r="D174" s="96">
        <v>7778.337021627699</v>
      </c>
      <c r="E174" s="113">
        <v>19.852074033284794</v>
      </c>
      <c r="F174" s="96">
        <v>53324.390109651584</v>
      </c>
      <c r="G174" s="96">
        <v>63830.220596721621</v>
      </c>
      <c r="H174" s="113">
        <v>19.701735857581816</v>
      </c>
      <c r="I174" s="113">
        <v>71.709614069368257</v>
      </c>
      <c r="J174" s="103">
        <v>736669</v>
      </c>
      <c r="K174" s="103">
        <v>784741</v>
      </c>
      <c r="L174" s="113">
        <v>6.5255901904383018</v>
      </c>
      <c r="M174" s="103">
        <v>6477738</v>
      </c>
      <c r="N174" s="103">
        <v>7002610</v>
      </c>
      <c r="O174" s="113">
        <v>8.1027049874508705</v>
      </c>
      <c r="P174" s="113">
        <v>35.642024811854803</v>
      </c>
      <c r="Q174" s="103">
        <v>0</v>
      </c>
      <c r="R174" s="103">
        <v>0</v>
      </c>
      <c r="S174" s="113" t="s">
        <v>126</v>
      </c>
      <c r="T174" s="103">
        <v>0</v>
      </c>
      <c r="U174" s="103">
        <v>0</v>
      </c>
      <c r="V174" s="113" t="s">
        <v>126</v>
      </c>
      <c r="W174" s="113" t="s">
        <v>126</v>
      </c>
      <c r="X174" s="103">
        <v>197003.26495887802</v>
      </c>
      <c r="Y174" s="103">
        <v>268193.1011467441</v>
      </c>
      <c r="Z174" s="113">
        <v>36.136373781787867</v>
      </c>
      <c r="AA174" s="103">
        <v>1586724.424906879</v>
      </c>
      <c r="AB174" s="103">
        <v>2225695.4374535629</v>
      </c>
      <c r="AC174" s="113">
        <v>40.269816391348698</v>
      </c>
      <c r="AD174" s="113">
        <v>84.009657283533656</v>
      </c>
      <c r="AE174" s="113"/>
      <c r="AF174" s="113"/>
      <c r="AG174" s="103"/>
      <c r="AH174" s="103"/>
      <c r="AI174" s="113"/>
      <c r="AJ174" s="103"/>
      <c r="AK174" s="103"/>
      <c r="AL174" s="113"/>
      <c r="AM174" s="113"/>
    </row>
    <row r="175" spans="1:39">
      <c r="A175" s="153"/>
      <c r="B175" s="141" t="s">
        <v>81</v>
      </c>
      <c r="C175" s="96">
        <v>5882.537542702471</v>
      </c>
      <c r="D175" s="96">
        <v>3944.3122444428473</v>
      </c>
      <c r="E175" s="113">
        <v>-32.948796062747988</v>
      </c>
      <c r="F175" s="96">
        <v>41194.556755742917</v>
      </c>
      <c r="G175" s="96">
        <v>41110.869292977652</v>
      </c>
      <c r="H175" s="113">
        <v>-0.2031517495417634</v>
      </c>
      <c r="I175" s="113">
        <v>25.072891603521448</v>
      </c>
      <c r="J175" s="103">
        <v>148</v>
      </c>
      <c r="K175" s="103">
        <v>199</v>
      </c>
      <c r="L175" s="113">
        <v>34.459459459459453</v>
      </c>
      <c r="M175" s="103">
        <v>1485</v>
      </c>
      <c r="N175" s="103">
        <v>2030</v>
      </c>
      <c r="O175" s="113">
        <v>36.700336700336699</v>
      </c>
      <c r="P175" s="113">
        <v>75.296735905044514</v>
      </c>
      <c r="Q175" s="103">
        <v>15549807</v>
      </c>
      <c r="R175" s="103">
        <v>11036903</v>
      </c>
      <c r="S175" s="113">
        <v>-29.022250887101041</v>
      </c>
      <c r="T175" s="103">
        <v>150735356.398</v>
      </c>
      <c r="U175" s="103">
        <v>126985446</v>
      </c>
      <c r="V175" s="113">
        <v>-15.756031607668074</v>
      </c>
      <c r="W175" s="113">
        <v>99.949872149068497</v>
      </c>
      <c r="X175" s="103">
        <v>168117.20254115807</v>
      </c>
      <c r="Y175" s="103">
        <v>180882.06080523517</v>
      </c>
      <c r="Z175" s="113">
        <v>7.5928328993887684</v>
      </c>
      <c r="AA175" s="103">
        <v>1657598.1476666243</v>
      </c>
      <c r="AB175" s="103">
        <v>1810700.4849411801</v>
      </c>
      <c r="AC175" s="113">
        <v>9.2363964987578928</v>
      </c>
      <c r="AD175" s="113">
        <v>99.969810586055573</v>
      </c>
      <c r="AE175" s="113"/>
      <c r="AF175" s="113"/>
      <c r="AG175" s="103"/>
      <c r="AH175" s="103"/>
      <c r="AI175" s="113"/>
      <c r="AJ175" s="103"/>
      <c r="AK175" s="103"/>
      <c r="AL175" s="113"/>
      <c r="AM175" s="113"/>
    </row>
    <row r="176" spans="1:39">
      <c r="A176" s="153"/>
      <c r="B176" s="141" t="s">
        <v>82</v>
      </c>
      <c r="C176" s="96">
        <v>7.0728702343336156</v>
      </c>
      <c r="D176" s="96">
        <v>20.581988800000005</v>
      </c>
      <c r="E176" s="113">
        <v>190.99910104513853</v>
      </c>
      <c r="F176" s="96">
        <v>107.79397656900115</v>
      </c>
      <c r="G176" s="96">
        <v>252.73180506599999</v>
      </c>
      <c r="H176" s="113">
        <v>134.45818876922232</v>
      </c>
      <c r="I176" s="113">
        <v>11.756381416720641</v>
      </c>
      <c r="J176" s="103">
        <v>7</v>
      </c>
      <c r="K176" s="103">
        <v>16</v>
      </c>
      <c r="L176" s="113">
        <v>128.57142857142856</v>
      </c>
      <c r="M176" s="103">
        <v>67</v>
      </c>
      <c r="N176" s="103">
        <v>164</v>
      </c>
      <c r="O176" s="113">
        <v>144.77611940298507</v>
      </c>
      <c r="P176" s="113">
        <v>4.107187578261958</v>
      </c>
      <c r="Q176" s="103">
        <v>5898</v>
      </c>
      <c r="R176" s="103">
        <v>531703</v>
      </c>
      <c r="S176" s="113">
        <v>8914.9711766700584</v>
      </c>
      <c r="T176" s="103">
        <v>125329</v>
      </c>
      <c r="U176" s="103">
        <v>3432371</v>
      </c>
      <c r="V176" s="113">
        <v>2638.6885716793399</v>
      </c>
      <c r="W176" s="113">
        <v>42.357056068411595</v>
      </c>
      <c r="X176" s="103">
        <v>-33.025854199999898</v>
      </c>
      <c r="Y176" s="103">
        <v>957.97437059999982</v>
      </c>
      <c r="Z176" s="113">
        <v>-3000.6800696164969</v>
      </c>
      <c r="AA176" s="103">
        <v>8170.3830190000008</v>
      </c>
      <c r="AB176" s="103">
        <v>14040.1314463</v>
      </c>
      <c r="AC176" s="113">
        <v>71.841777963775513</v>
      </c>
      <c r="AD176" s="113">
        <v>15.350257004049078</v>
      </c>
      <c r="AE176" s="113"/>
      <c r="AF176" s="113"/>
      <c r="AG176" s="103"/>
      <c r="AH176" s="103"/>
      <c r="AI176" s="113"/>
      <c r="AJ176" s="103"/>
      <c r="AK176" s="103"/>
      <c r="AL176" s="113"/>
      <c r="AM176" s="113"/>
    </row>
    <row r="177" spans="1:39" ht="15">
      <c r="A177" s="153"/>
      <c r="B177" s="142" t="s">
        <v>83</v>
      </c>
      <c r="C177" s="96">
        <v>628.18919802157279</v>
      </c>
      <c r="D177" s="96">
        <v>975.33371859562885</v>
      </c>
      <c r="E177" s="113">
        <v>55.261141335660888</v>
      </c>
      <c r="F177" s="96">
        <v>7020.1154904374298</v>
      </c>
      <c r="G177" s="96">
        <v>9200.24973599244</v>
      </c>
      <c r="H177" s="113">
        <v>31.055532469867721</v>
      </c>
      <c r="I177" s="113">
        <v>82.494059526867687</v>
      </c>
      <c r="J177" s="103">
        <v>439</v>
      </c>
      <c r="K177" s="103">
        <v>518</v>
      </c>
      <c r="L177" s="113">
        <v>17.995444191343957</v>
      </c>
      <c r="M177" s="103">
        <v>4973</v>
      </c>
      <c r="N177" s="103">
        <v>5242</v>
      </c>
      <c r="O177" s="113">
        <v>5.4092097325558086</v>
      </c>
      <c r="P177" s="113">
        <v>19.058353026722415</v>
      </c>
      <c r="Q177" s="103">
        <v>5711828</v>
      </c>
      <c r="R177" s="103">
        <v>5961289</v>
      </c>
      <c r="S177" s="113">
        <v>4.3674459384981379</v>
      </c>
      <c r="T177" s="103">
        <v>62204402</v>
      </c>
      <c r="U177" s="103">
        <v>45428247</v>
      </c>
      <c r="V177" s="113">
        <v>-26.969401618875789</v>
      </c>
      <c r="W177" s="113">
        <v>57.506919230396328</v>
      </c>
      <c r="X177" s="103">
        <v>256323.10525694254</v>
      </c>
      <c r="Y177" s="103">
        <v>330233.86630401423</v>
      </c>
      <c r="Z177" s="113">
        <v>28.834997521188079</v>
      </c>
      <c r="AA177" s="103">
        <v>2509798.0483912001</v>
      </c>
      <c r="AB177" s="103">
        <v>2794694.6696355375</v>
      </c>
      <c r="AC177" s="113">
        <v>11.351376315993168</v>
      </c>
      <c r="AD177" s="113">
        <v>73.421212218472093</v>
      </c>
      <c r="AE177" s="113"/>
      <c r="AF177" s="113"/>
      <c r="AG177" s="103"/>
      <c r="AH177" s="103"/>
      <c r="AI177" s="113"/>
      <c r="AJ177" s="103"/>
      <c r="AK177" s="103"/>
      <c r="AL177" s="113"/>
      <c r="AM177" s="113"/>
    </row>
    <row r="178" spans="1:39">
      <c r="A178" s="153"/>
      <c r="B178" s="144"/>
      <c r="C178" s="104"/>
      <c r="D178" s="104"/>
      <c r="E178" s="113"/>
      <c r="F178" s="104"/>
      <c r="G178" s="104"/>
      <c r="H178" s="113"/>
      <c r="I178" s="110"/>
      <c r="J178" s="106"/>
      <c r="K178" s="106"/>
      <c r="L178" s="113"/>
      <c r="M178" s="106"/>
      <c r="N178" s="106"/>
      <c r="O178" s="113"/>
      <c r="P178" s="113"/>
      <c r="Q178" s="106"/>
      <c r="R178" s="106"/>
      <c r="S178" s="113"/>
      <c r="T178" s="106"/>
      <c r="U178" s="106"/>
      <c r="V178" s="113"/>
      <c r="W178" s="113"/>
      <c r="X178" s="96"/>
      <c r="Y178" s="96"/>
      <c r="Z178" s="113"/>
      <c r="AA178" s="96"/>
      <c r="AB178" s="96"/>
      <c r="AC178" s="113"/>
      <c r="AD178" s="113"/>
      <c r="AE178" s="113"/>
      <c r="AF178" s="113"/>
      <c r="AG178" s="96"/>
      <c r="AH178" s="96"/>
      <c r="AI178" s="113"/>
      <c r="AJ178" s="96"/>
      <c r="AK178" s="96"/>
      <c r="AL178" s="113"/>
      <c r="AM178" s="113"/>
    </row>
    <row r="179" spans="1:39" s="138" customFormat="1" ht="15">
      <c r="A179" s="13">
        <v>25</v>
      </c>
      <c r="B179" s="139" t="s">
        <v>107</v>
      </c>
      <c r="C179" s="101">
        <v>18920.771296783991</v>
      </c>
      <c r="D179" s="101">
        <v>16292.669660409001</v>
      </c>
      <c r="E179" s="110">
        <v>-13.890034370965065</v>
      </c>
      <c r="F179" s="101">
        <v>166326.36535224202</v>
      </c>
      <c r="G179" s="101">
        <v>174248.62398098598</v>
      </c>
      <c r="H179" s="110">
        <v>4.763080472519432</v>
      </c>
      <c r="I179" s="110">
        <v>56.960358674862441</v>
      </c>
      <c r="J179" s="102">
        <v>2029231</v>
      </c>
      <c r="K179" s="102">
        <v>1732607</v>
      </c>
      <c r="L179" s="110">
        <v>-14.617557094288426</v>
      </c>
      <c r="M179" s="101">
        <v>14610786</v>
      </c>
      <c r="N179" s="101">
        <v>13467619</v>
      </c>
      <c r="O179" s="110">
        <v>-7.8241307483389306</v>
      </c>
      <c r="P179" s="110">
        <v>64.973354044216038</v>
      </c>
      <c r="Q179" s="102">
        <v>2668713</v>
      </c>
      <c r="R179" s="102">
        <v>3572636</v>
      </c>
      <c r="S179" s="110">
        <v>33.871120648792143</v>
      </c>
      <c r="T179" s="102">
        <v>36274148</v>
      </c>
      <c r="U179" s="102">
        <v>38302632</v>
      </c>
      <c r="V179" s="110">
        <v>5.5920927488083194</v>
      </c>
      <c r="W179" s="110">
        <v>17.885998241147359</v>
      </c>
      <c r="X179" s="101">
        <v>176649.63371700008</v>
      </c>
      <c r="Y179" s="101">
        <v>142214.71610570006</v>
      </c>
      <c r="Z179" s="110">
        <v>-19.493342208943474</v>
      </c>
      <c r="AA179" s="101">
        <v>1348184.7339952001</v>
      </c>
      <c r="AB179" s="101">
        <v>1528641.2513104002</v>
      </c>
      <c r="AC179" s="110">
        <v>13.38514765557659</v>
      </c>
      <c r="AD179" s="110">
        <v>18.220016280864574</v>
      </c>
      <c r="AE179" s="110"/>
      <c r="AF179" s="110"/>
      <c r="AG179" s="101"/>
      <c r="AH179" s="101"/>
      <c r="AI179" s="110"/>
      <c r="AJ179" s="101"/>
      <c r="AK179" s="101"/>
      <c r="AL179" s="110"/>
      <c r="AM179" s="110"/>
    </row>
    <row r="180" spans="1:39">
      <c r="A180" s="153"/>
      <c r="B180" s="141" t="s">
        <v>79</v>
      </c>
      <c r="C180" s="96">
        <v>1919.0090251000004</v>
      </c>
      <c r="D180" s="96">
        <v>2313.7303561999993</v>
      </c>
      <c r="E180" s="113">
        <v>20.569019006016909</v>
      </c>
      <c r="F180" s="96">
        <v>18922.345311500001</v>
      </c>
      <c r="G180" s="96">
        <v>22362.8417663</v>
      </c>
      <c r="H180" s="113">
        <v>18.182188297288103</v>
      </c>
      <c r="I180" s="113">
        <v>56.425888465428805</v>
      </c>
      <c r="J180" s="103">
        <v>75305</v>
      </c>
      <c r="K180" s="103">
        <v>84650</v>
      </c>
      <c r="L180" s="113">
        <v>12.409534559458212</v>
      </c>
      <c r="M180" s="103">
        <v>715553</v>
      </c>
      <c r="N180" s="103">
        <v>796411</v>
      </c>
      <c r="O180" s="113">
        <v>11.300071413298518</v>
      </c>
      <c r="P180" s="113">
        <v>76.090925680523796</v>
      </c>
      <c r="Q180" s="103"/>
      <c r="R180" s="103"/>
      <c r="S180" s="113" t="s">
        <v>126</v>
      </c>
      <c r="T180" s="103"/>
      <c r="U180" s="103"/>
      <c r="V180" s="113" t="s">
        <v>126</v>
      </c>
      <c r="W180" s="113" t="s">
        <v>126</v>
      </c>
      <c r="X180" s="96">
        <v>1213.9159999999997</v>
      </c>
      <c r="Y180" s="96">
        <v>1882.8938750000002</v>
      </c>
      <c r="Z180" s="113">
        <v>55.109074680620452</v>
      </c>
      <c r="AA180" s="96">
        <v>12047.446099999999</v>
      </c>
      <c r="AB180" s="96">
        <v>15340.823791000001</v>
      </c>
      <c r="AC180" s="113">
        <v>27.336728993541648</v>
      </c>
      <c r="AD180" s="113">
        <v>48.748341220389946</v>
      </c>
      <c r="AE180" s="113"/>
      <c r="AF180" s="113"/>
      <c r="AG180" s="96"/>
      <c r="AH180" s="96"/>
      <c r="AI180" s="113"/>
      <c r="AJ180" s="96"/>
      <c r="AK180" s="96"/>
      <c r="AL180" s="113"/>
      <c r="AM180" s="113"/>
    </row>
    <row r="181" spans="1:39">
      <c r="A181" s="153"/>
      <c r="B181" s="141" t="s">
        <v>80</v>
      </c>
      <c r="C181" s="96">
        <v>3130.4509306000009</v>
      </c>
      <c r="D181" s="96">
        <v>2853.9879135000015</v>
      </c>
      <c r="E181" s="113">
        <v>-8.8314119348617552</v>
      </c>
      <c r="F181" s="96">
        <v>24735.452450500001</v>
      </c>
      <c r="G181" s="96">
        <v>25181.861569799996</v>
      </c>
      <c r="H181" s="113">
        <v>1.8047339954397001</v>
      </c>
      <c r="I181" s="113">
        <v>28.290385930631739</v>
      </c>
      <c r="J181" s="103">
        <v>1950495</v>
      </c>
      <c r="K181" s="103">
        <v>1645706</v>
      </c>
      <c r="L181" s="113">
        <v>-15.626238467671028</v>
      </c>
      <c r="M181" s="103">
        <v>13866293</v>
      </c>
      <c r="N181" s="103">
        <v>12644450</v>
      </c>
      <c r="O181" s="113">
        <v>-8.8116052358045529</v>
      </c>
      <c r="P181" s="113">
        <v>64.357975188145204</v>
      </c>
      <c r="Q181" s="103"/>
      <c r="R181" s="103"/>
      <c r="S181" s="113" t="s">
        <v>126</v>
      </c>
      <c r="T181" s="103"/>
      <c r="U181" s="103"/>
      <c r="V181" s="113" t="s">
        <v>126</v>
      </c>
      <c r="W181" s="113" t="s">
        <v>126</v>
      </c>
      <c r="X181" s="96">
        <v>61334.006299999986</v>
      </c>
      <c r="Y181" s="96">
        <v>55049.42940000003</v>
      </c>
      <c r="Z181" s="113">
        <v>-10.246480344460974</v>
      </c>
      <c r="AA181" s="96">
        <v>443884.67229999998</v>
      </c>
      <c r="AB181" s="96">
        <v>423637.40048650006</v>
      </c>
      <c r="AC181" s="113">
        <v>-4.5613811597927327</v>
      </c>
      <c r="AD181" s="113">
        <v>15.990342716466349</v>
      </c>
      <c r="AE181" s="113"/>
      <c r="AF181" s="113"/>
      <c r="AG181" s="96"/>
      <c r="AH181" s="96"/>
      <c r="AI181" s="113"/>
      <c r="AJ181" s="96"/>
      <c r="AK181" s="96"/>
      <c r="AL181" s="113"/>
      <c r="AM181" s="113"/>
    </row>
    <row r="182" spans="1:39">
      <c r="A182" s="153"/>
      <c r="B182" s="141" t="s">
        <v>81</v>
      </c>
      <c r="C182" s="96">
        <v>12420.794765273989</v>
      </c>
      <c r="D182" s="96">
        <v>10879.100716436002</v>
      </c>
      <c r="E182" s="113">
        <v>-12.412201296073667</v>
      </c>
      <c r="F182" s="96">
        <v>117617.15474603702</v>
      </c>
      <c r="G182" s="96">
        <v>122854.53981525499</v>
      </c>
      <c r="H182" s="113">
        <v>4.452909170032826</v>
      </c>
      <c r="I182" s="113">
        <v>74.927108396478545</v>
      </c>
      <c r="J182" s="103">
        <v>229</v>
      </c>
      <c r="K182" s="103">
        <v>388</v>
      </c>
      <c r="L182" s="113">
        <v>69.432314410480345</v>
      </c>
      <c r="M182" s="103">
        <v>547</v>
      </c>
      <c r="N182" s="103">
        <v>666</v>
      </c>
      <c r="O182" s="113">
        <v>21.755027422303463</v>
      </c>
      <c r="P182" s="113">
        <v>24.70326409495549</v>
      </c>
      <c r="Q182" s="103">
        <v>14386</v>
      </c>
      <c r="R182" s="103">
        <v>17732</v>
      </c>
      <c r="S182" s="113">
        <v>23.258723759210341</v>
      </c>
      <c r="T182" s="103">
        <v>72880</v>
      </c>
      <c r="U182" s="103">
        <v>63687</v>
      </c>
      <c r="V182" s="113">
        <v>-12.61388583973655</v>
      </c>
      <c r="W182" s="113">
        <v>5.0127850931497506E-2</v>
      </c>
      <c r="X182" s="96">
        <v>57.567770000000017</v>
      </c>
      <c r="Y182" s="96">
        <v>3.0743999999999505</v>
      </c>
      <c r="Z182" s="113">
        <v>-94.659511737209982</v>
      </c>
      <c r="AA182" s="96">
        <v>828.67268569999999</v>
      </c>
      <c r="AB182" s="96">
        <v>546.80494190000002</v>
      </c>
      <c r="AC182" s="113">
        <v>-34.014364014170376</v>
      </c>
      <c r="AD182" s="113">
        <v>3.0189413944425966E-2</v>
      </c>
      <c r="AE182" s="113"/>
      <c r="AF182" s="113"/>
      <c r="AG182" s="96"/>
      <c r="AH182" s="96"/>
      <c r="AI182" s="113"/>
      <c r="AJ182" s="96"/>
      <c r="AK182" s="96"/>
      <c r="AL182" s="113"/>
      <c r="AM182" s="113"/>
    </row>
    <row r="183" spans="1:39">
      <c r="A183" s="153"/>
      <c r="B183" s="141" t="s">
        <v>82</v>
      </c>
      <c r="C183" s="96">
        <v>1312.0282480150001</v>
      </c>
      <c r="D183" s="96">
        <v>79.012808274000037</v>
      </c>
      <c r="E183" s="113">
        <v>-93.977811956904091</v>
      </c>
      <c r="F183" s="96">
        <v>3564.6516312389999</v>
      </c>
      <c r="G183" s="96">
        <v>1897.0096511490001</v>
      </c>
      <c r="H183" s="113">
        <v>-46.782747729835286</v>
      </c>
      <c r="I183" s="113">
        <v>88.243618583279343</v>
      </c>
      <c r="J183" s="103">
        <v>353</v>
      </c>
      <c r="K183" s="103">
        <v>383</v>
      </c>
      <c r="L183" s="113">
        <v>8.4985835694050937</v>
      </c>
      <c r="M183" s="103">
        <v>3313</v>
      </c>
      <c r="N183" s="103">
        <v>3829</v>
      </c>
      <c r="O183" s="113">
        <v>15.575007546030783</v>
      </c>
      <c r="P183" s="113">
        <v>95.892812421738043</v>
      </c>
      <c r="Q183" s="106">
        <v>593681</v>
      </c>
      <c r="R183" s="106">
        <v>513999</v>
      </c>
      <c r="S183" s="113">
        <v>-13.4216860569902</v>
      </c>
      <c r="T183" s="106">
        <v>5009025</v>
      </c>
      <c r="U183" s="106">
        <v>4671051</v>
      </c>
      <c r="V183" s="113">
        <v>-6.7473011214757346</v>
      </c>
      <c r="W183" s="113">
        <v>57.642943931588405</v>
      </c>
      <c r="X183" s="96">
        <v>7683.654073799994</v>
      </c>
      <c r="Y183" s="96">
        <v>8678.4462226000032</v>
      </c>
      <c r="Z183" s="113">
        <v>12.946862771869029</v>
      </c>
      <c r="AA183" s="96">
        <v>59840.991053500002</v>
      </c>
      <c r="AB183" s="96">
        <v>77424.991532400003</v>
      </c>
      <c r="AC183" s="113">
        <v>29.384540879644305</v>
      </c>
      <c r="AD183" s="113">
        <v>84.649742995950916</v>
      </c>
      <c r="AE183" s="113"/>
      <c r="AF183" s="113"/>
      <c r="AG183" s="96"/>
      <c r="AH183" s="96"/>
      <c r="AI183" s="113"/>
      <c r="AJ183" s="96"/>
      <c r="AK183" s="96"/>
      <c r="AL183" s="113"/>
      <c r="AM183" s="113"/>
    </row>
    <row r="184" spans="1:39" ht="15">
      <c r="A184" s="153"/>
      <c r="B184" s="142" t="s">
        <v>83</v>
      </c>
      <c r="C184" s="96">
        <v>138.48832779500012</v>
      </c>
      <c r="D184" s="96">
        <v>166.83786599899963</v>
      </c>
      <c r="E184" s="113">
        <v>20.470705838808634</v>
      </c>
      <c r="F184" s="96">
        <v>1486.7612129660001</v>
      </c>
      <c r="G184" s="96">
        <v>1952.3711784819998</v>
      </c>
      <c r="H184" s="113">
        <v>31.317064331207266</v>
      </c>
      <c r="I184" s="113">
        <v>17.505940473132313</v>
      </c>
      <c r="J184" s="103">
        <v>2849</v>
      </c>
      <c r="K184" s="103">
        <v>1480</v>
      </c>
      <c r="L184" s="113">
        <v>-48.05194805194806</v>
      </c>
      <c r="M184" s="103">
        <v>25080</v>
      </c>
      <c r="N184" s="103">
        <v>22263</v>
      </c>
      <c r="O184" s="113">
        <v>-11.232057416267939</v>
      </c>
      <c r="P184" s="113">
        <v>80.941646973277585</v>
      </c>
      <c r="Q184" s="106">
        <v>2060646</v>
      </c>
      <c r="R184" s="106">
        <v>3040905</v>
      </c>
      <c r="S184" s="113">
        <v>47.570470619407686</v>
      </c>
      <c r="T184" s="106">
        <v>31192243</v>
      </c>
      <c r="U184" s="106">
        <v>33567894</v>
      </c>
      <c r="V184" s="113">
        <v>7.6161595689030692</v>
      </c>
      <c r="W184" s="113">
        <v>42.493080769603672</v>
      </c>
      <c r="X184" s="96">
        <v>106360.4895732001</v>
      </c>
      <c r="Y184" s="96">
        <v>76600.872208100016</v>
      </c>
      <c r="Z184" s="113">
        <v>-27.979955230103304</v>
      </c>
      <c r="AA184" s="96">
        <v>831582.95185600012</v>
      </c>
      <c r="AB184" s="96">
        <v>1011691.2305586002</v>
      </c>
      <c r="AC184" s="113">
        <v>21.658486179955784</v>
      </c>
      <c r="AD184" s="113">
        <v>26.578787781527897</v>
      </c>
      <c r="AE184" s="113"/>
      <c r="AF184" s="113"/>
      <c r="AG184" s="96"/>
      <c r="AH184" s="96"/>
      <c r="AI184" s="113"/>
      <c r="AJ184" s="96"/>
      <c r="AK184" s="96"/>
      <c r="AL184" s="113"/>
      <c r="AM184" s="113"/>
    </row>
    <row r="185" spans="1:39">
      <c r="A185" s="153"/>
      <c r="B185" s="144"/>
      <c r="C185" s="104"/>
      <c r="D185" s="104"/>
      <c r="E185" s="113"/>
      <c r="F185" s="104"/>
      <c r="G185" s="104"/>
      <c r="H185" s="113"/>
      <c r="I185" s="110"/>
      <c r="J185" s="103"/>
      <c r="K185" s="104"/>
      <c r="L185" s="113"/>
      <c r="M185" s="103"/>
      <c r="N185" s="104"/>
      <c r="O185" s="113"/>
      <c r="P185" s="113"/>
      <c r="Q185" s="103"/>
      <c r="R185" s="104"/>
      <c r="S185" s="113"/>
      <c r="T185" s="103"/>
      <c r="U185" s="104"/>
      <c r="V185" s="113"/>
      <c r="W185" s="113"/>
      <c r="X185" s="96"/>
      <c r="Y185" s="104"/>
      <c r="Z185" s="113"/>
      <c r="AA185" s="96"/>
      <c r="AB185" s="104"/>
      <c r="AC185" s="113"/>
      <c r="AD185" s="113"/>
      <c r="AE185" s="113"/>
      <c r="AF185" s="113"/>
      <c r="AG185" s="96"/>
      <c r="AH185" s="96"/>
      <c r="AI185" s="113"/>
      <c r="AJ185" s="96"/>
      <c r="AK185" s="96"/>
      <c r="AL185" s="113"/>
      <c r="AM185" s="113"/>
    </row>
    <row r="186" spans="1:39" s="138" customFormat="1" ht="15">
      <c r="A186" s="18"/>
      <c r="B186" s="139" t="s">
        <v>108</v>
      </c>
      <c r="C186" s="101">
        <v>33559.754967277891</v>
      </c>
      <c r="D186" s="101">
        <v>30825.172591220384</v>
      </c>
      <c r="E186" s="110">
        <v>-8.1483979210332009</v>
      </c>
      <c r="F186" s="101">
        <v>283833.51781341032</v>
      </c>
      <c r="G186" s="101">
        <v>305912.09050424187</v>
      </c>
      <c r="H186" s="110">
        <v>7.778705228656535</v>
      </c>
      <c r="I186" s="110">
        <v>100</v>
      </c>
      <c r="J186" s="102">
        <v>2793395</v>
      </c>
      <c r="K186" s="102">
        <v>2543726</v>
      </c>
      <c r="L186" s="110">
        <v>-8.9378337113082846</v>
      </c>
      <c r="M186" s="102">
        <v>21308278</v>
      </c>
      <c r="N186" s="102">
        <v>20727911</v>
      </c>
      <c r="O186" s="110">
        <v>-2.7236691768335319</v>
      </c>
      <c r="P186" s="110">
        <v>100</v>
      </c>
      <c r="Q186" s="102">
        <v>20422662</v>
      </c>
      <c r="R186" s="102">
        <v>21102531</v>
      </c>
      <c r="S186" s="110">
        <v>3.328993056830698</v>
      </c>
      <c r="T186" s="102">
        <v>249339235.398</v>
      </c>
      <c r="U186" s="102">
        <v>214148696</v>
      </c>
      <c r="V186" s="110">
        <v>-14.113518613237186</v>
      </c>
      <c r="W186" s="110">
        <v>100</v>
      </c>
      <c r="X186" s="102">
        <v>799866.30270557478</v>
      </c>
      <c r="Y186" s="102">
        <v>923779.96153071849</v>
      </c>
      <c r="Z186" s="110">
        <v>15.491796367218068</v>
      </c>
      <c r="AA186" s="102">
        <v>7125549.6649004417</v>
      </c>
      <c r="AB186" s="102">
        <v>8389900.5782768894</v>
      </c>
      <c r="AC186" s="110">
        <v>17.743907106626189</v>
      </c>
      <c r="AD186" s="110">
        <v>100</v>
      </c>
      <c r="AE186" s="110"/>
      <c r="AF186" s="110"/>
      <c r="AG186" s="102"/>
      <c r="AH186" s="102"/>
      <c r="AI186" s="110"/>
      <c r="AJ186" s="102"/>
      <c r="AK186" s="102"/>
      <c r="AL186" s="110"/>
      <c r="AM186" s="110"/>
    </row>
    <row r="187" spans="1:39">
      <c r="A187" s="153"/>
      <c r="B187" s="141" t="s">
        <v>79</v>
      </c>
      <c r="C187" s="96">
        <v>3550.2453016146542</v>
      </c>
      <c r="D187" s="96">
        <v>4127.668313545204</v>
      </c>
      <c r="E187" s="113">
        <v>16.264313107264371</v>
      </c>
      <c r="F187" s="96">
        <v>34782.641440267354</v>
      </c>
      <c r="G187" s="96">
        <v>39632.236858798133</v>
      </c>
      <c r="H187" s="113">
        <v>13.942573702629947</v>
      </c>
      <c r="I187" s="113">
        <v>100</v>
      </c>
      <c r="J187" s="103">
        <v>102206</v>
      </c>
      <c r="K187" s="103">
        <v>110295</v>
      </c>
      <c r="L187" s="113">
        <v>7.9144081560769353</v>
      </c>
      <c r="M187" s="103">
        <v>928782</v>
      </c>
      <c r="N187" s="103">
        <v>1046657</v>
      </c>
      <c r="O187" s="113">
        <v>12.691352760927742</v>
      </c>
      <c r="P187" s="113">
        <v>100</v>
      </c>
      <c r="Q187" s="103">
        <v>0</v>
      </c>
      <c r="R187" s="103">
        <v>0</v>
      </c>
      <c r="S187" s="113" t="s">
        <v>126</v>
      </c>
      <c r="T187" s="103">
        <v>0</v>
      </c>
      <c r="U187" s="103">
        <v>0</v>
      </c>
      <c r="V187" s="113" t="s">
        <v>126</v>
      </c>
      <c r="W187" s="113" t="s">
        <v>126</v>
      </c>
      <c r="X187" s="103">
        <v>3020.0380857959999</v>
      </c>
      <c r="Y187" s="103">
        <v>3181.1366734249973</v>
      </c>
      <c r="Z187" s="113">
        <v>5.3343230466756264</v>
      </c>
      <c r="AA187" s="103">
        <v>27121.373021537998</v>
      </c>
      <c r="AB187" s="103">
        <v>31469.427280909</v>
      </c>
      <c r="AC187" s="113">
        <v>16.031836794981082</v>
      </c>
      <c r="AD187" s="113">
        <v>100</v>
      </c>
      <c r="AE187" s="113"/>
      <c r="AF187" s="113"/>
      <c r="AG187" s="103"/>
      <c r="AH187" s="103"/>
      <c r="AI187" s="113"/>
      <c r="AJ187" s="103"/>
      <c r="AK187" s="103"/>
      <c r="AL187" s="113"/>
      <c r="AM187" s="113"/>
    </row>
    <row r="188" spans="1:39">
      <c r="A188" s="153"/>
      <c r="B188" s="141" t="s">
        <v>80</v>
      </c>
      <c r="C188" s="96">
        <v>9620.3987136208707</v>
      </c>
      <c r="D188" s="96">
        <v>10632.324935127701</v>
      </c>
      <c r="E188" s="113">
        <v>10.518547636431252</v>
      </c>
      <c r="F188" s="96">
        <v>78059.842560151592</v>
      </c>
      <c r="G188" s="96">
        <v>89012.082166521621</v>
      </c>
      <c r="H188" s="113">
        <v>14.030568403888877</v>
      </c>
      <c r="I188" s="113">
        <v>100</v>
      </c>
      <c r="J188" s="103">
        <v>2687164</v>
      </c>
      <c r="K188" s="103">
        <v>2430447</v>
      </c>
      <c r="L188" s="113">
        <v>-9.5534548691482932</v>
      </c>
      <c r="M188" s="103">
        <v>20344031</v>
      </c>
      <c r="N188" s="103">
        <v>19647060</v>
      </c>
      <c r="O188" s="113">
        <v>-3.4259238004503589</v>
      </c>
      <c r="P188" s="113">
        <v>100</v>
      </c>
      <c r="Q188" s="103">
        <v>0</v>
      </c>
      <c r="R188" s="103">
        <v>0</v>
      </c>
      <c r="S188" s="113" t="s">
        <v>126</v>
      </c>
      <c r="T188" s="103">
        <v>0</v>
      </c>
      <c r="U188" s="103">
        <v>0</v>
      </c>
      <c r="V188" s="113" t="s">
        <v>126</v>
      </c>
      <c r="W188" s="113" t="s">
        <v>126</v>
      </c>
      <c r="X188" s="103">
        <v>258337.271258878</v>
      </c>
      <c r="Y188" s="103">
        <v>323242.53054674412</v>
      </c>
      <c r="Z188" s="113">
        <v>25.124233515196103</v>
      </c>
      <c r="AA188" s="103">
        <v>2030609.0972068789</v>
      </c>
      <c r="AB188" s="103">
        <v>2649332.8379400629</v>
      </c>
      <c r="AC188" s="113">
        <v>30.469859589629735</v>
      </c>
      <c r="AD188" s="113">
        <v>100</v>
      </c>
      <c r="AE188" s="113"/>
      <c r="AF188" s="113"/>
      <c r="AG188" s="103"/>
      <c r="AH188" s="103"/>
      <c r="AI188" s="113"/>
      <c r="AJ188" s="103"/>
      <c r="AK188" s="103"/>
      <c r="AL188" s="113"/>
      <c r="AM188" s="113"/>
    </row>
    <row r="189" spans="1:39">
      <c r="A189" s="153"/>
      <c r="B189" s="141" t="s">
        <v>81</v>
      </c>
      <c r="C189" s="96">
        <v>18303.33230797646</v>
      </c>
      <c r="D189" s="96">
        <v>14823.41296087885</v>
      </c>
      <c r="E189" s="113">
        <v>-19.01249066860402</v>
      </c>
      <c r="F189" s="96">
        <v>158811.71150177994</v>
      </c>
      <c r="G189" s="96">
        <v>163965.40910823265</v>
      </c>
      <c r="H189" s="113">
        <v>3.2451621846509404</v>
      </c>
      <c r="I189" s="113">
        <v>100</v>
      </c>
      <c r="J189" s="103">
        <v>377</v>
      </c>
      <c r="K189" s="103">
        <v>587</v>
      </c>
      <c r="L189" s="113">
        <v>55.7029177718833</v>
      </c>
      <c r="M189" s="103">
        <v>2032</v>
      </c>
      <c r="N189" s="103">
        <v>2696</v>
      </c>
      <c r="O189" s="113">
        <v>32.677165354330718</v>
      </c>
      <c r="P189" s="113">
        <v>100</v>
      </c>
      <c r="Q189" s="103">
        <v>15564193</v>
      </c>
      <c r="R189" s="103">
        <v>11054635</v>
      </c>
      <c r="S189" s="113">
        <v>-28.97392752711303</v>
      </c>
      <c r="T189" s="103">
        <v>150808236.398</v>
      </c>
      <c r="U189" s="103">
        <v>127049133</v>
      </c>
      <c r="V189" s="113">
        <v>-15.754513125726799</v>
      </c>
      <c r="W189" s="113">
        <v>100</v>
      </c>
      <c r="X189" s="103">
        <v>168174.77031115806</v>
      </c>
      <c r="Y189" s="103">
        <v>180885.13520523519</v>
      </c>
      <c r="Z189" s="113">
        <v>7.5578309817580402</v>
      </c>
      <c r="AA189" s="103">
        <v>1658426.8203523243</v>
      </c>
      <c r="AB189" s="103">
        <v>1811247.2898830802</v>
      </c>
      <c r="AC189" s="113">
        <v>9.2147852202661529</v>
      </c>
      <c r="AD189" s="113">
        <v>100</v>
      </c>
      <c r="AE189" s="113"/>
      <c r="AF189" s="113"/>
      <c r="AG189" s="103"/>
      <c r="AH189" s="103"/>
      <c r="AI189" s="113"/>
      <c r="AJ189" s="103"/>
      <c r="AK189" s="103"/>
      <c r="AL189" s="113"/>
      <c r="AM189" s="113"/>
    </row>
    <row r="190" spans="1:39">
      <c r="A190" s="153"/>
      <c r="B190" s="141" t="s">
        <v>82</v>
      </c>
      <c r="C190" s="96">
        <v>1319.1011182493337</v>
      </c>
      <c r="D190" s="96">
        <v>99.594797074000041</v>
      </c>
      <c r="E190" s="113">
        <v>-92.44979814692455</v>
      </c>
      <c r="F190" s="96">
        <v>3672.4456078080011</v>
      </c>
      <c r="G190" s="96">
        <v>2149.7414562150002</v>
      </c>
      <c r="H190" s="113">
        <v>-41.462946336239092</v>
      </c>
      <c r="I190" s="113">
        <v>100</v>
      </c>
      <c r="J190" s="103">
        <v>360</v>
      </c>
      <c r="K190" s="103">
        <v>399</v>
      </c>
      <c r="L190" s="113">
        <v>10.833333333333339</v>
      </c>
      <c r="M190" s="103">
        <v>3380</v>
      </c>
      <c r="N190" s="103">
        <v>3993</v>
      </c>
      <c r="O190" s="113">
        <v>18.136094674556212</v>
      </c>
      <c r="P190" s="113">
        <v>100</v>
      </c>
      <c r="Q190" s="103">
        <v>599579</v>
      </c>
      <c r="R190" s="103">
        <v>1045702</v>
      </c>
      <c r="S190" s="113">
        <v>74.406041572503369</v>
      </c>
      <c r="T190" s="103">
        <v>5134354</v>
      </c>
      <c r="U190" s="103">
        <v>8103422</v>
      </c>
      <c r="V190" s="113">
        <v>57.827489105737541</v>
      </c>
      <c r="W190" s="113">
        <v>100</v>
      </c>
      <c r="X190" s="103">
        <v>7650.6282195999938</v>
      </c>
      <c r="Y190" s="103">
        <v>9636.4205932000023</v>
      </c>
      <c r="Z190" s="113">
        <v>25.955938736019689</v>
      </c>
      <c r="AA190" s="103">
        <v>68011.37407250001</v>
      </c>
      <c r="AB190" s="103">
        <v>91465.122978700005</v>
      </c>
      <c r="AC190" s="113">
        <v>34.485039048319102</v>
      </c>
      <c r="AD190" s="113">
        <v>100</v>
      </c>
      <c r="AE190" s="113"/>
      <c r="AF190" s="113"/>
      <c r="AG190" s="103"/>
      <c r="AH190" s="103"/>
      <c r="AI190" s="113"/>
      <c r="AJ190" s="103"/>
      <c r="AK190" s="103"/>
      <c r="AL190" s="113"/>
      <c r="AM190" s="113"/>
    </row>
    <row r="191" spans="1:39" ht="15">
      <c r="A191" s="153"/>
      <c r="B191" s="142" t="s">
        <v>83</v>
      </c>
      <c r="C191" s="96">
        <v>766.67752581657294</v>
      </c>
      <c r="D191" s="96">
        <v>1142.1715845946285</v>
      </c>
      <c r="E191" s="113">
        <v>48.976792214969954</v>
      </c>
      <c r="F191" s="96">
        <v>8506.8767034034299</v>
      </c>
      <c r="G191" s="96">
        <v>11152.620914474439</v>
      </c>
      <c r="H191" s="113">
        <v>31.101240835105791</v>
      </c>
      <c r="I191" s="113">
        <v>100</v>
      </c>
      <c r="J191" s="103">
        <v>3288</v>
      </c>
      <c r="K191" s="103">
        <v>1998</v>
      </c>
      <c r="L191" s="113">
        <v>-39.233576642335763</v>
      </c>
      <c r="M191" s="103">
        <v>30053</v>
      </c>
      <c r="N191" s="103">
        <v>27505</v>
      </c>
      <c r="O191" s="113">
        <v>-8.4783549063321413</v>
      </c>
      <c r="P191" s="113">
        <v>100</v>
      </c>
      <c r="Q191" s="103">
        <v>7772474</v>
      </c>
      <c r="R191" s="103">
        <v>9002194</v>
      </c>
      <c r="S191" s="113">
        <v>15.821474603839135</v>
      </c>
      <c r="T191" s="103">
        <v>93396645</v>
      </c>
      <c r="U191" s="103">
        <v>78996141</v>
      </c>
      <c r="V191" s="113">
        <v>-15.418652350949014</v>
      </c>
      <c r="W191" s="113">
        <v>100</v>
      </c>
      <c r="X191" s="103">
        <v>362683.59483014263</v>
      </c>
      <c r="Y191" s="103">
        <v>406834.73851211427</v>
      </c>
      <c r="Z191" s="113">
        <v>12.173460369126744</v>
      </c>
      <c r="AA191" s="103">
        <v>3341381.0002472</v>
      </c>
      <c r="AB191" s="103">
        <v>3806385.9001941378</v>
      </c>
      <c r="AC191" s="113">
        <v>13.91654827487605</v>
      </c>
      <c r="AD191" s="113">
        <v>100</v>
      </c>
      <c r="AE191" s="113"/>
      <c r="AF191" s="113"/>
      <c r="AG191" s="103"/>
      <c r="AH191" s="103"/>
      <c r="AI191" s="113"/>
      <c r="AJ191" s="103"/>
      <c r="AK191" s="103"/>
      <c r="AL191" s="113"/>
      <c r="AM191" s="113"/>
    </row>
    <row r="192" spans="1:39">
      <c r="A192" s="154" t="s">
        <v>109</v>
      </c>
      <c r="N192" s="21"/>
      <c r="O192" s="21"/>
      <c r="P192" s="21"/>
      <c r="Q192" s="21"/>
    </row>
    <row r="193" spans="1:28">
      <c r="A193" s="154" t="s">
        <v>110</v>
      </c>
    </row>
    <row r="194" spans="1:28" ht="12.75" hidden="1" customHeight="1">
      <c r="AB194" s="127">
        <v>949814.92151007627</v>
      </c>
    </row>
    <row r="195" spans="1:28" ht="12.75" hidden="1" customHeight="1">
      <c r="G195" s="127">
        <v>52678.881681805186</v>
      </c>
      <c r="AB195" s="127">
        <v>204625.68257600989</v>
      </c>
    </row>
    <row r="196" spans="1:28" ht="12.75" hidden="1" customHeight="1"/>
    <row r="197" spans="1:28" ht="12.75" hidden="1" customHeight="1"/>
    <row r="198" spans="1:28">
      <c r="A198" s="154">
        <v>3</v>
      </c>
      <c r="B198" s="127" t="s">
        <v>115</v>
      </c>
    </row>
  </sheetData>
  <mergeCells count="8">
    <mergeCell ref="A1:N1"/>
    <mergeCell ref="Y1:AD1"/>
    <mergeCell ref="A2:A3"/>
    <mergeCell ref="B2:B3"/>
    <mergeCell ref="C2:I2"/>
    <mergeCell ref="J2:P2"/>
    <mergeCell ref="Q2:W2"/>
    <mergeCell ref="X2:A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FYP as at 31st March, 2018_TEMP</vt:lpstr>
      <vt:lpstr>Authority Vs Life Council</vt:lpstr>
      <vt:lpstr>as at 31st Jan 2025</vt:lpstr>
      <vt:lpstr>हिंदी संस्करण</vt:lpstr>
      <vt:lpstr>'as at 31st Jan 2025'!Print_Area</vt:lpstr>
      <vt:lpstr>'FYP as at 31st March, 2018_TEMP'!Print_Area</vt:lpstr>
      <vt:lpstr>'as at 31st Jan 2025'!Print_Titles</vt:lpstr>
      <vt:lpstr>'FYP as at 31st March, 2018_TEMP'!Print_Titles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DINESH GURJAR</cp:lastModifiedBy>
  <cp:lastPrinted>2024-11-08T12:21:17Z</cp:lastPrinted>
  <dcterms:created xsi:type="dcterms:W3CDTF">2002-04-18T04:47:59Z</dcterms:created>
  <dcterms:modified xsi:type="dcterms:W3CDTF">2026-08-21T05:41:41Z</dcterms:modified>
</cp:coreProperties>
</file>