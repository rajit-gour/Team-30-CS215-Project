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ujas\Downloads\"/>
    </mc:Choice>
  </mc:AlternateContent>
  <xr:revisionPtr revIDLastSave="0" documentId="13_ncr:1_{227DA29D-E9F7-4738-B585-8EA8B1886F49}" xr6:coauthVersionLast="47" xr6:coauthVersionMax="47" xr10:uidLastSave="{00000000-0000-0000-0000-000000000000}"/>
  <bookViews>
    <workbookView xWindow="-110" yWindow="-110" windowWidth="19420" windowHeight="10420" tabRatio="695" firstSheet="2" activeTab="2" xr2:uid="{00000000-000D-0000-FFFF-FFFF00000000}"/>
  </bookViews>
  <sheets>
    <sheet name="FYP as at 31st March, 2018_TEMP" sheetId="40" state="hidden" r:id="rId1"/>
    <sheet name="Authority Vs Life Council" sheetId="30" state="hidden" r:id="rId2"/>
    <sheet name="as at 30th June 2022" sheetId="41" r:id="rId3"/>
  </sheets>
  <definedNames>
    <definedName name="_xlnm.Print_Area" localSheetId="0">'FYP as at 31st March, 2018_TEMP'!$A$1:$J$31</definedName>
    <definedName name="_xlnm.Print_Titles" localSheetId="2">'as at 30th June 2022'!$A:$B,'as at 30th June 2022'!$1:$3</definedName>
    <definedName name="_xlnm.Print_Titles" localSheetId="0">'FYP as at 31st March, 2018_TEMP'!$A:$B,'FYP as at 31st March, 2018_TEMP'!$1:$3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<sst xmlns="http://schemas.openxmlformats.org/spreadsheetml/2006/main" count="776" uniqueCount="69">
  <si>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</si>
  <si>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</si>
  <si>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</si>
  <si>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</si>
  <si>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</si>
  <si>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</si>
  <si>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</si>
  <si>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</si>
  <si>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</si>
  <si>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</si>
  <si>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</si>
  <si>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</si>
  <si>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</si>
  <si>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</si>
  <si>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</si>
  <si>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</si>
  <si>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</si>
  <si>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</si>
  <si>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</si>
  <si>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</si>
  <si>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</si>
  <si>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</si>
  <si>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</si>
  <si>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</si>
  <si>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</si>
  <si>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</si>
  <si>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</si>
  <si>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</si>
  <si>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</si>
  <si>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</si>
  <si>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</si>
  <si>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</si>
  <si>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</si>
  <si>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</si>
  <si>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</si>
  <si>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</si>
  <si>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</si>
  <si>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</si>
  <si>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</si>
  <si>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</si>
  <si>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</si>
  <si>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</si>
  <si>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</si>
  <si>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</si>
  <si>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</si>
  <si>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</si>
  <si>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</si>
  <si>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</si>
  <si>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</si>
  <si>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</si>
  <si>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</si>
  <si>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</si>
  <si>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</si>
  <si>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</si>
  <si>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</si>
  <si>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</si>
  <si>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</si>
  <si>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</si>
  <si>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</si>
  <si>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</si>
  <si>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</si>
  <si>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</si>
  <si>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For  June, 2021</t>
  </si>
  <si>
    <t>For June, 2022</t>
  </si>
  <si>
    <t>Up to 30th June, 2021</t>
  </si>
  <si>
    <t>Up to 30th June, 2022</t>
  </si>
  <si>
    <t>Aegas Federal Life</t>
  </si>
  <si>
    <t>HDFC Life</t>
  </si>
  <si>
    <t>New Business Statement of Life Insurers for the Period ended 30 June,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</si>
</sst>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i/>
      <sz val="10"/>
      <name val="Rupee Foradian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3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right"/>
    </xf>
    <xf numFmtId="2" fontId="6" fillId="0" borderId="0" xfId="0" applyNumberFormat="1" applyFont="1" applyFill="1" applyBorder="1"/>
    <xf numFmtId="2" fontId="19" fillId="2" borderId="0" xfId="0" applyNumberFormat="1" applyFont="1" applyFill="1" applyBorder="1" applyAlignment="1">
      <alignment horizontal="right"/>
    </xf>
    <xf numFmtId="2" fontId="17" fillId="0" borderId="0" xfId="0" applyNumberFormat="1" applyFont="1" applyBorder="1"/>
    <xf numFmtId="1" fontId="6" fillId="0" borderId="0" xfId="0" applyNumberFormat="1" applyFont="1" applyFill="1" applyBorder="1"/>
    <xf numFmtId="2" fontId="8" fillId="0" borderId="0" xfId="0" applyNumberFormat="1" applyFont="1" applyFill="1" applyBorder="1"/>
    <xf numFmtId="2" fontId="18" fillId="2" borderId="0" xfId="0" applyNumberFormat="1" applyFont="1" applyFill="1" applyBorder="1" applyAlignment="1">
      <alignment horizontal="right"/>
    </xf>
    <xf numFmtId="2" fontId="18" fillId="0" borderId="0" xfId="0" applyNumberFormat="1" applyFont="1" applyBorder="1"/>
    <xf numFmtId="1" fontId="8" fillId="0" borderId="0" xfId="0" applyNumberFormat="1" applyFont="1" applyFill="1" applyBorder="1"/>
    <xf numFmtId="2" fontId="17" fillId="2" borderId="1" xfId="0" applyNumberFormat="1" applyFont="1" applyFill="1" applyBorder="1" applyAlignment="1">
      <alignment horizontal="right"/>
    </xf>
    <xf numFmtId="0" fontId="5" fillId="0" borderId="0" xfId="0" quotePrefix="1" applyFont="1" applyBorder="1"/>
    <xf numFmtId="0" fontId="7" fillId="0" borderId="0" xfId="0" quotePrefix="1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20" fillId="2" borderId="1" xfId="0" applyNumberFormat="1" applyFont="1" applyFill="1" applyBorder="1" applyAlignment="1">
      <alignment horizontal="right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1" fontId="20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2" borderId="1" xfId="1" applyNumberFormat="1" applyFont="1" applyFill="1" applyBorder="1"/>
    <xf numFmtId="1" fontId="8" fillId="2" borderId="1" xfId="0" applyNumberFormat="1" applyFont="1" applyFill="1" applyBorder="1"/>
    <xf numFmtId="1" fontId="5" fillId="2" borderId="1" xfId="0" applyNumberFormat="1" applyFont="1" applyFill="1" applyBorder="1"/>
    <xf numFmtId="0" fontId="1" fillId="2" borderId="1" xfId="0" applyFont="1" applyFill="1" applyBorder="1"/>
    <xf numFmtId="1" fontId="5" fillId="2" borderId="1" xfId="1" applyNumberFormat="1" applyFont="1" applyFill="1" applyBorder="1"/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left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_companywise Month" xfId="8" xr:uid="{00000000-0005-0000-0000-00000C000000}"/>
    <cellStyle name="Percent 2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796875" defaultRowHeight="12.5"/>
  <cols>
    <col min="1" max="1" width="6.453125" style="1" customWidth="1"/>
    <col min="2" max="2" width="30" style="1" customWidth="1"/>
    <col min="3" max="11" width="12.7265625" style="1" customWidth="1"/>
    <col min="12" max="16384" width="9.1796875" style="1"/>
  </cols>
  <sheetData>
    <row r="1" spans="1:11" ht="15.5">
      <c r="A1" s="140" t="s">
        <v>49</v>
      </c>
      <c r="B1" s="141"/>
      <c r="C1" s="141"/>
      <c r="D1" s="141"/>
      <c r="E1" s="141"/>
      <c r="F1" s="141"/>
      <c r="G1" s="141"/>
      <c r="H1" s="141"/>
      <c r="I1" s="137" t="s">
        <v>26</v>
      </c>
      <c r="J1" s="137"/>
      <c r="K1" s="137"/>
    </row>
    <row r="2" spans="1:11" ht="41.25" customHeight="1">
      <c r="A2" s="138" t="s">
        <v>2</v>
      </c>
      <c r="B2" s="138" t="s">
        <v>0</v>
      </c>
      <c r="C2" s="138" t="s">
        <v>51</v>
      </c>
      <c r="D2" s="138"/>
      <c r="E2" s="138"/>
      <c r="F2" s="138" t="s">
        <v>8</v>
      </c>
      <c r="G2" s="138"/>
      <c r="H2" s="138"/>
      <c r="I2" s="139" t="s">
        <v>9</v>
      </c>
      <c r="J2" s="139"/>
      <c r="K2" s="139"/>
    </row>
    <row r="3" spans="1:11" s="4" customFormat="1" ht="39.75" customHeight="1">
      <c r="A3" s="138"/>
      <c r="B3" s="138"/>
      <c r="C3" s="100" t="s">
        <v>47</v>
      </c>
      <c r="D3" s="100" t="s">
        <v>48</v>
      </c>
      <c r="E3" s="2" t="s">
        <v>23</v>
      </c>
      <c r="F3" s="100" t="s">
        <v>47</v>
      </c>
      <c r="G3" s="100" t="s">
        <v>48</v>
      </c>
      <c r="H3" s="2" t="s">
        <v>23</v>
      </c>
      <c r="I3" s="100" t="s">
        <v>47</v>
      </c>
      <c r="J3" s="100" t="s">
        <v>48</v>
      </c>
      <c r="K3" s="2" t="s">
        <v>23</v>
      </c>
    </row>
    <row r="4" spans="1:11" s="4" customFormat="1" ht="15.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.5">
      <c r="A5" s="16">
        <v>2</v>
      </c>
      <c r="B5" s="98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.5">
      <c r="A6" s="16">
        <v>3</v>
      </c>
      <c r="B6" s="98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.5">
      <c r="A7" s="16">
        <v>4</v>
      </c>
      <c r="B7" s="98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.5">
      <c r="A8" s="16">
        <v>5</v>
      </c>
      <c r="B8" s="98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.5">
      <c r="A9" s="16">
        <v>6</v>
      </c>
      <c r="B9" s="98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.5">
      <c r="A10" s="16">
        <v>7</v>
      </c>
      <c r="B10" s="98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.5">
      <c r="A11" s="16">
        <v>8</v>
      </c>
      <c r="B11" s="98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.5">
      <c r="A12" s="16">
        <v>9</v>
      </c>
      <c r="B12" s="98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.5">
      <c r="A13" s="17">
        <v>10</v>
      </c>
      <c r="B13" s="99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.5">
      <c r="A14" s="16">
        <v>11</v>
      </c>
      <c r="B14" s="98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.5">
      <c r="A15" s="16">
        <v>12</v>
      </c>
      <c r="B15" s="98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.5">
      <c r="A16" s="16">
        <v>13</v>
      </c>
      <c r="B16" s="98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.5">
      <c r="A17" s="16">
        <v>14</v>
      </c>
      <c r="B17" s="98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.5">
      <c r="A18" s="16">
        <v>15</v>
      </c>
      <c r="B18" s="98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.5">
      <c r="A19" s="16">
        <v>16</v>
      </c>
      <c r="B19" s="98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.5">
      <c r="A20" s="16">
        <v>17</v>
      </c>
      <c r="B20" s="98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.5">
      <c r="A21" s="16">
        <v>18</v>
      </c>
      <c r="B21" s="98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.5">
      <c r="A22" s="16">
        <v>19</v>
      </c>
      <c r="B22" s="98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.5">
      <c r="A23" s="19">
        <v>20</v>
      </c>
      <c r="B23" s="98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.5">
      <c r="A24" s="19">
        <v>21</v>
      </c>
      <c r="B24" s="98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.5">
      <c r="A25" s="19">
        <v>22</v>
      </c>
      <c r="B25" s="98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.5">
      <c r="A26" s="19">
        <v>23</v>
      </c>
      <c r="B26" s="98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.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.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2">
        <v>20131500</v>
      </c>
      <c r="G28" s="102">
        <v>21338176</v>
      </c>
      <c r="H28" s="13">
        <v>5.993969649554181</v>
      </c>
      <c r="I28" s="102">
        <v>53174202</v>
      </c>
      <c r="J28" s="102">
        <v>60542332</v>
      </c>
      <c r="K28" s="13">
        <v>13.856587824298709</v>
      </c>
    </row>
    <row r="29" spans="1:11" s="20" customFormat="1" ht="15.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1"/>
      <c r="G30" s="101"/>
      <c r="H30" s="101"/>
      <c r="I30" s="101"/>
      <c r="J30" s="101"/>
      <c r="K30" s="101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6"/>
  <sheetViews>
    <sheetView topLeftCell="A46" workbookViewId="0">
      <selection activeCell="F153" sqref="F153"/>
    </sheetView>
  </sheetViews>
  <sheetFormatPr defaultColWidth="9.1796875" defaultRowHeight="14"/>
  <cols>
    <col min="1" max="1" width="6.453125" style="34" customWidth="1"/>
    <col min="2" max="2" width="33.7265625" style="34" customWidth="1"/>
    <col min="3" max="13" width="12.7265625" style="34" customWidth="1"/>
    <col min="14" max="14" width="12" style="34" bestFit="1" customWidth="1"/>
    <col min="15" max="16384" width="9.1796875" style="34"/>
  </cols>
  <sheetData>
    <row r="1" spans="1:14">
      <c r="A1" s="144" t="s">
        <v>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4">
      <c r="A2" s="35"/>
      <c r="B2" s="36"/>
      <c r="C2" s="36"/>
      <c r="D2" s="36"/>
      <c r="E2" s="36"/>
      <c r="F2" s="36"/>
      <c r="G2" s="36"/>
      <c r="H2" s="36"/>
      <c r="I2" s="36"/>
      <c r="J2" s="147" t="s">
        <v>26</v>
      </c>
      <c r="K2" s="147"/>
      <c r="L2" s="148"/>
      <c r="M2" s="148"/>
    </row>
    <row r="3" spans="1:14" ht="41.25" customHeight="1">
      <c r="A3" s="146" t="s">
        <v>2</v>
      </c>
      <c r="B3" s="146" t="s">
        <v>0</v>
      </c>
      <c r="C3" s="146" t="s">
        <v>15</v>
      </c>
      <c r="D3" s="146"/>
      <c r="E3" s="146"/>
      <c r="F3" s="146"/>
      <c r="G3" s="146"/>
      <c r="H3" s="37"/>
      <c r="I3" s="146" t="s">
        <v>8</v>
      </c>
      <c r="J3" s="146"/>
      <c r="K3" s="146"/>
      <c r="L3" s="146"/>
      <c r="M3" s="146"/>
      <c r="N3" s="38"/>
    </row>
    <row r="4" spans="1:14" ht="41.25" customHeight="1">
      <c r="A4" s="146"/>
      <c r="B4" s="146"/>
      <c r="C4" s="37" t="s">
        <v>43</v>
      </c>
      <c r="D4" s="37" t="s">
        <v>44</v>
      </c>
      <c r="E4" s="142" t="s">
        <v>45</v>
      </c>
      <c r="F4" s="37" t="s">
        <v>43</v>
      </c>
      <c r="G4" s="37" t="s">
        <v>44</v>
      </c>
      <c r="H4" s="142" t="s">
        <v>45</v>
      </c>
      <c r="I4" s="37" t="s">
        <v>43</v>
      </c>
      <c r="J4" s="37" t="s">
        <v>44</v>
      </c>
      <c r="K4" s="142" t="s">
        <v>45</v>
      </c>
      <c r="L4" s="37" t="s">
        <v>43</v>
      </c>
      <c r="M4" s="37" t="s">
        <v>44</v>
      </c>
      <c r="N4" s="142" t="s">
        <v>45</v>
      </c>
    </row>
    <row r="5" spans="1:14" s="40" customFormat="1" ht="39.75" customHeight="1">
      <c r="A5" s="146"/>
      <c r="B5" s="146"/>
      <c r="C5" s="39" t="s">
        <v>28</v>
      </c>
      <c r="D5" s="39" t="s">
        <v>28</v>
      </c>
      <c r="E5" s="143"/>
      <c r="F5" s="39" t="s">
        <v>29</v>
      </c>
      <c r="G5" s="39" t="s">
        <v>29</v>
      </c>
      <c r="H5" s="143"/>
      <c r="I5" s="39" t="s">
        <v>28</v>
      </c>
      <c r="J5" s="39" t="s">
        <v>28</v>
      </c>
      <c r="K5" s="143"/>
      <c r="L5" s="39" t="s">
        <v>29</v>
      </c>
      <c r="M5" s="39" t="s">
        <v>29</v>
      </c>
      <c r="N5" s="143"/>
    </row>
    <row r="6" spans="1:14" s="40" customFormat="1">
      <c r="A6" s="41">
        <v>1</v>
      </c>
      <c r="B6" s="42" t="s">
        <v>22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4.5">
      <c r="A7" s="45"/>
      <c r="B7" s="46" t="s">
        <v>3</v>
      </c>
      <c r="C7" s="47">
        <v>1.18</v>
      </c>
      <c r="D7" s="48">
        <v>1.1795909689999999</v>
      </c>
      <c r="E7" s="49">
        <f>C7-D7</f>
        <v>4.0903100000000414E-4</v>
      </c>
      <c r="F7" s="47">
        <v>1.34</v>
      </c>
      <c r="G7" s="50">
        <v>1.3442410779999998</v>
      </c>
      <c r="H7" s="49">
        <f>F7-G7</f>
        <v>-4.2410779999997317E-3</v>
      </c>
      <c r="I7" s="47">
        <v>1461</v>
      </c>
      <c r="J7" s="51">
        <v>1461</v>
      </c>
      <c r="K7" s="52">
        <f>I7-J7</f>
        <v>0</v>
      </c>
      <c r="L7" s="47">
        <v>1467</v>
      </c>
      <c r="M7" s="53">
        <v>1467</v>
      </c>
      <c r="N7" s="52">
        <f>L7-M7</f>
        <v>0</v>
      </c>
    </row>
    <row r="8" spans="1:14" ht="14.5">
      <c r="A8" s="45"/>
      <c r="B8" s="46" t="s">
        <v>4</v>
      </c>
      <c r="C8" s="47">
        <v>37.36</v>
      </c>
      <c r="D8" s="48">
        <v>37.362601903000005</v>
      </c>
      <c r="E8" s="49">
        <f t="shared" ref="E8:E12" si="0">C8-D8</f>
        <v>-2.6019030000057342E-3</v>
      </c>
      <c r="F8" s="47">
        <v>66</v>
      </c>
      <c r="G8" s="50">
        <v>65.997021204000006</v>
      </c>
      <c r="H8" s="49">
        <f t="shared" ref="H8:H12" si="1">F8-G8</f>
        <v>2.978795999993622E-3</v>
      </c>
      <c r="I8" s="47">
        <v>17013</v>
      </c>
      <c r="J8" s="51">
        <v>17013</v>
      </c>
      <c r="K8" s="52">
        <f t="shared" ref="K8:K12" si="2">I8-J8</f>
        <v>0</v>
      </c>
      <c r="L8" s="47">
        <v>30108</v>
      </c>
      <c r="M8" s="53">
        <v>30108</v>
      </c>
      <c r="N8" s="52">
        <f t="shared" ref="N8:N12" si="3">L8-M8</f>
        <v>0</v>
      </c>
    </row>
    <row r="9" spans="1:14" ht="14.5">
      <c r="A9" s="45"/>
      <c r="B9" s="46" t="s">
        <v>5</v>
      </c>
      <c r="C9" s="47">
        <v>0</v>
      </c>
      <c r="D9" s="48">
        <v>0</v>
      </c>
      <c r="E9" s="49">
        <f t="shared" si="0"/>
        <v>0</v>
      </c>
      <c r="F9" s="47">
        <v>0</v>
      </c>
      <c r="G9" s="50">
        <v>0</v>
      </c>
      <c r="H9" s="49">
        <f t="shared" si="1"/>
        <v>0</v>
      </c>
      <c r="I9" s="47">
        <v>0</v>
      </c>
      <c r="J9" s="51">
        <v>0</v>
      </c>
      <c r="K9" s="52">
        <f t="shared" si="2"/>
        <v>0</v>
      </c>
      <c r="L9" s="47">
        <v>0</v>
      </c>
      <c r="M9" s="53">
        <v>0</v>
      </c>
      <c r="N9" s="52">
        <f t="shared" si="3"/>
        <v>0</v>
      </c>
    </row>
    <row r="10" spans="1:14" ht="14.5">
      <c r="A10" s="45"/>
      <c r="B10" s="46" t="s">
        <v>6</v>
      </c>
      <c r="C10" s="47">
        <v>0</v>
      </c>
      <c r="D10" s="48">
        <v>0</v>
      </c>
      <c r="E10" s="49">
        <f t="shared" si="0"/>
        <v>0</v>
      </c>
      <c r="F10" s="47">
        <v>0.03</v>
      </c>
      <c r="G10" s="50">
        <v>3.0315753000000001E-2</v>
      </c>
      <c r="H10" s="49">
        <f t="shared" si="1"/>
        <v>-3.1575300000000195E-4</v>
      </c>
      <c r="I10" s="47">
        <v>0</v>
      </c>
      <c r="J10" s="51">
        <v>0</v>
      </c>
      <c r="K10" s="52">
        <f t="shared" si="2"/>
        <v>0</v>
      </c>
      <c r="L10" s="47">
        <v>1</v>
      </c>
      <c r="M10" s="53">
        <v>1</v>
      </c>
      <c r="N10" s="52">
        <f t="shared" si="3"/>
        <v>0</v>
      </c>
    </row>
    <row r="11" spans="1:14" ht="14.5">
      <c r="A11" s="45"/>
      <c r="B11" s="46" t="s">
        <v>25</v>
      </c>
      <c r="C11" s="47">
        <v>0</v>
      </c>
      <c r="D11" s="48">
        <v>0</v>
      </c>
      <c r="E11" s="49">
        <f t="shared" si="0"/>
        <v>0</v>
      </c>
      <c r="F11" s="47">
        <v>1.34</v>
      </c>
      <c r="G11" s="50">
        <v>1.343449637</v>
      </c>
      <c r="H11" s="49">
        <f t="shared" si="1"/>
        <v>-3.4496369999998944E-3</v>
      </c>
      <c r="I11" s="47">
        <v>0</v>
      </c>
      <c r="J11" s="51">
        <v>0</v>
      </c>
      <c r="K11" s="52">
        <f t="shared" si="2"/>
        <v>0</v>
      </c>
      <c r="L11" s="47">
        <v>17</v>
      </c>
      <c r="M11" s="53">
        <v>17</v>
      </c>
      <c r="N11" s="52">
        <f t="shared" si="3"/>
        <v>0</v>
      </c>
    </row>
    <row r="12" spans="1:14" s="40" customFormat="1">
      <c r="A12" s="41"/>
      <c r="B12" s="54"/>
      <c r="C12" s="55">
        <f>C7+C8+C9+C10+C11</f>
        <v>38.54</v>
      </c>
      <c r="D12" s="56">
        <f>D7+D8+D9+D10+D11</f>
        <v>38.542192872000008</v>
      </c>
      <c r="E12" s="57">
        <f t="shared" si="0"/>
        <v>-2.1928720000090607E-3</v>
      </c>
      <c r="F12" s="55">
        <f>F7+F8+F9+F10+F11</f>
        <v>68.710000000000008</v>
      </c>
      <c r="G12" s="56">
        <f>G7+G8+G9+G10+G11</f>
        <v>68.715027672000005</v>
      </c>
      <c r="H12" s="57">
        <f t="shared" si="1"/>
        <v>-5.0276719999970965E-3</v>
      </c>
      <c r="I12" s="55">
        <f>I7+I8+I9+I10+I11</f>
        <v>18474</v>
      </c>
      <c r="J12" s="58">
        <f>J7+J8+J9+J10+J11</f>
        <v>18474</v>
      </c>
      <c r="K12" s="59">
        <f t="shared" si="2"/>
        <v>0</v>
      </c>
      <c r="L12" s="55">
        <f>L7+L8+L9+L10+L11</f>
        <v>31593</v>
      </c>
      <c r="M12" s="58">
        <f>M7+M8+M9+M10+M11</f>
        <v>31593</v>
      </c>
      <c r="N12" s="59">
        <f t="shared" si="3"/>
        <v>0</v>
      </c>
    </row>
    <row r="13" spans="1:14" ht="14.5">
      <c r="A13" s="45"/>
      <c r="B13" s="46"/>
      <c r="C13" s="47"/>
      <c r="D13" s="48"/>
      <c r="E13" s="49"/>
      <c r="F13" s="47"/>
      <c r="G13" s="50"/>
      <c r="H13" s="49"/>
      <c r="I13" s="47"/>
      <c r="J13" s="51"/>
      <c r="K13" s="52"/>
      <c r="L13" s="47"/>
      <c r="M13" s="53"/>
      <c r="N13" s="52"/>
    </row>
    <row r="14" spans="1:14" s="40" customFormat="1">
      <c r="A14" s="41">
        <v>2</v>
      </c>
      <c r="B14" s="42" t="s">
        <v>30</v>
      </c>
      <c r="C14" s="47"/>
      <c r="D14" s="43"/>
      <c r="E14" s="60"/>
      <c r="F14" s="47"/>
      <c r="G14" s="43"/>
      <c r="H14" s="60"/>
      <c r="I14" s="47"/>
      <c r="J14" s="43"/>
      <c r="K14" s="61"/>
      <c r="L14" s="47"/>
      <c r="M14" s="43"/>
      <c r="N14" s="61"/>
    </row>
    <row r="15" spans="1:14" ht="14.5">
      <c r="A15" s="45"/>
      <c r="B15" s="46" t="s">
        <v>3</v>
      </c>
      <c r="C15" s="47">
        <v>4.09</v>
      </c>
      <c r="D15" s="48">
        <v>4.0887079999999996</v>
      </c>
      <c r="E15" s="49">
        <f>C15-D15</f>
        <v>1.2920000000002929E-3</v>
      </c>
      <c r="F15" s="47">
        <v>3.6</v>
      </c>
      <c r="G15" s="50">
        <v>3.6012961000000003</v>
      </c>
      <c r="H15" s="49">
        <f>F15-G15</f>
        <v>-1.2961000000002443E-3</v>
      </c>
      <c r="I15" s="47">
        <v>659</v>
      </c>
      <c r="J15" s="51">
        <v>659</v>
      </c>
      <c r="K15" s="52">
        <f>I15-J15</f>
        <v>0</v>
      </c>
      <c r="L15" s="47">
        <v>2060</v>
      </c>
      <c r="M15" s="53">
        <v>2060</v>
      </c>
      <c r="N15" s="52">
        <f>L15-M15</f>
        <v>0</v>
      </c>
    </row>
    <row r="16" spans="1:14" ht="14.5">
      <c r="A16" s="45"/>
      <c r="B16" s="46" t="s">
        <v>4</v>
      </c>
      <c r="C16" s="47">
        <v>63.99</v>
      </c>
      <c r="D16" s="48">
        <v>63.985609500000002</v>
      </c>
      <c r="E16" s="49">
        <f t="shared" ref="E16:E20" si="4">C16-D16</f>
        <v>4.3904999999995198E-3</v>
      </c>
      <c r="F16" s="47">
        <v>84.79</v>
      </c>
      <c r="G16" s="62">
        <v>84.786888200000007</v>
      </c>
      <c r="H16" s="49">
        <f t="shared" ref="H16:H20" si="5">F16-G16</f>
        <v>3.1117999999992207E-3</v>
      </c>
      <c r="I16" s="47">
        <v>11691</v>
      </c>
      <c r="J16" s="51">
        <v>11691</v>
      </c>
      <c r="K16" s="52">
        <f t="shared" ref="K16:K20" si="6">I16-J16</f>
        <v>0</v>
      </c>
      <c r="L16" s="47">
        <v>14437</v>
      </c>
      <c r="M16" s="63">
        <v>14437</v>
      </c>
      <c r="N16" s="52">
        <f t="shared" ref="N16:N20" si="7">L16-M16</f>
        <v>0</v>
      </c>
    </row>
    <row r="17" spans="1:14" ht="14.5">
      <c r="A17" s="45"/>
      <c r="B17" s="46" t="s">
        <v>5</v>
      </c>
      <c r="C17" s="47">
        <v>0.08</v>
      </c>
      <c r="D17" s="48">
        <v>8.4438539000000007E-2</v>
      </c>
      <c r="E17" s="49">
        <f t="shared" si="4"/>
        <v>-4.4385390000000052E-3</v>
      </c>
      <c r="F17" s="47">
        <v>7.75</v>
      </c>
      <c r="G17" s="50">
        <v>7.7461793944177115</v>
      </c>
      <c r="H17" s="49">
        <f t="shared" si="5"/>
        <v>3.8206055822884721E-3</v>
      </c>
      <c r="I17" s="47">
        <v>1</v>
      </c>
      <c r="J17" s="51">
        <v>1</v>
      </c>
      <c r="K17" s="52">
        <f t="shared" si="6"/>
        <v>0</v>
      </c>
      <c r="L17" s="47">
        <v>3</v>
      </c>
      <c r="M17" s="53">
        <v>3</v>
      </c>
      <c r="N17" s="52">
        <f t="shared" si="7"/>
        <v>0</v>
      </c>
    </row>
    <row r="18" spans="1:14" ht="14.5">
      <c r="A18" s="45"/>
      <c r="B18" s="46" t="s">
        <v>6</v>
      </c>
      <c r="C18" s="47">
        <v>0.82</v>
      </c>
      <c r="D18" s="48">
        <v>32.530486606359204</v>
      </c>
      <c r="E18" s="49">
        <f t="shared" si="4"/>
        <v>-31.710486606359204</v>
      </c>
      <c r="F18" s="47">
        <v>1.05</v>
      </c>
      <c r="G18" s="50">
        <v>1.0502897</v>
      </c>
      <c r="H18" s="49">
        <f t="shared" si="5"/>
        <v>-2.8969999999994833E-4</v>
      </c>
      <c r="I18" s="47">
        <v>0</v>
      </c>
      <c r="J18" s="51">
        <v>14</v>
      </c>
      <c r="K18" s="52">
        <f t="shared" si="6"/>
        <v>-14</v>
      </c>
      <c r="L18" s="47">
        <v>0</v>
      </c>
      <c r="M18" s="53">
        <v>0</v>
      </c>
      <c r="N18" s="52">
        <f t="shared" si="7"/>
        <v>0</v>
      </c>
    </row>
    <row r="19" spans="1:14" ht="14.5">
      <c r="A19" s="45"/>
      <c r="B19" s="46" t="s">
        <v>25</v>
      </c>
      <c r="C19" s="47">
        <v>31.71</v>
      </c>
      <c r="D19" s="48">
        <v>0</v>
      </c>
      <c r="E19" s="49">
        <f t="shared" si="4"/>
        <v>31.71</v>
      </c>
      <c r="F19" s="47">
        <v>70.930000000000007</v>
      </c>
      <c r="G19" s="50">
        <v>70.925250946002777</v>
      </c>
      <c r="H19" s="49">
        <f t="shared" si="5"/>
        <v>4.7490539972301349E-3</v>
      </c>
      <c r="I19" s="47">
        <v>14</v>
      </c>
      <c r="J19" s="51">
        <v>0</v>
      </c>
      <c r="K19" s="52">
        <f t="shared" si="6"/>
        <v>14</v>
      </c>
      <c r="L19" s="47">
        <v>64</v>
      </c>
      <c r="M19" s="53">
        <v>64</v>
      </c>
      <c r="N19" s="52">
        <f t="shared" si="7"/>
        <v>0</v>
      </c>
    </row>
    <row r="20" spans="1:14" s="40" customFormat="1">
      <c r="A20" s="41"/>
      <c r="B20" s="54"/>
      <c r="C20" s="55">
        <f>C15+C16+C17+C18+C19</f>
        <v>100.69</v>
      </c>
      <c r="D20" s="56">
        <f>D15+D16+D17+D18+D19</f>
        <v>100.68924264535922</v>
      </c>
      <c r="E20" s="57">
        <f t="shared" si="4"/>
        <v>7.5735464078263703E-4</v>
      </c>
      <c r="F20" s="55">
        <f>F15+F16+F17+F18+F19</f>
        <v>168.12</v>
      </c>
      <c r="G20" s="56">
        <f>G15+G16+G17+G18+G19</f>
        <v>168.10990434042048</v>
      </c>
      <c r="H20" s="57">
        <f t="shared" si="5"/>
        <v>1.0095659579519634E-2</v>
      </c>
      <c r="I20" s="55">
        <f>I15+I16+I17+I18+I19</f>
        <v>12365</v>
      </c>
      <c r="J20" s="58">
        <f>J15+J16+J17+J18+J19</f>
        <v>12365</v>
      </c>
      <c r="K20" s="59">
        <f t="shared" si="6"/>
        <v>0</v>
      </c>
      <c r="L20" s="55">
        <f>L15+L16+L17+L18+L19</f>
        <v>16564</v>
      </c>
      <c r="M20" s="58">
        <f>M15+M16+M17+M18+M19</f>
        <v>16564</v>
      </c>
      <c r="N20" s="59">
        <f t="shared" si="7"/>
        <v>0</v>
      </c>
    </row>
    <row r="21" spans="1:14" ht="14.5">
      <c r="A21" s="45"/>
      <c r="B21" s="46"/>
      <c r="C21" s="47"/>
      <c r="D21" s="48"/>
      <c r="E21" s="49"/>
      <c r="F21" s="47"/>
      <c r="G21" s="50"/>
      <c r="H21" s="49"/>
      <c r="I21" s="47"/>
      <c r="J21" s="51"/>
      <c r="K21" s="52"/>
      <c r="L21" s="47"/>
      <c r="M21" s="53"/>
      <c r="N21" s="52"/>
    </row>
    <row r="22" spans="1:14" s="40" customFormat="1">
      <c r="A22" s="41">
        <v>3</v>
      </c>
      <c r="B22" s="42" t="s">
        <v>31</v>
      </c>
      <c r="C22" s="47"/>
      <c r="D22" s="43"/>
      <c r="E22" s="60"/>
      <c r="F22" s="47"/>
      <c r="G22" s="43"/>
      <c r="H22" s="60"/>
      <c r="I22" s="47"/>
      <c r="J22" s="43"/>
      <c r="K22" s="61"/>
      <c r="L22" s="47"/>
      <c r="M22" s="43"/>
      <c r="N22" s="61"/>
    </row>
    <row r="23" spans="1:14" ht="14.5">
      <c r="A23" s="45"/>
      <c r="B23" s="46" t="s">
        <v>3</v>
      </c>
      <c r="C23" s="47">
        <v>34.090000000000003</v>
      </c>
      <c r="D23" s="48">
        <v>34.091961140999999</v>
      </c>
      <c r="E23" s="49">
        <f>C23-D23</f>
        <v>-1.9611409999953366E-3</v>
      </c>
      <c r="F23" s="47">
        <v>40.049999999999997</v>
      </c>
      <c r="G23" s="50">
        <v>40.051792933199998</v>
      </c>
      <c r="H23" s="49">
        <f>F23-G23</f>
        <v>-1.7929332000008458E-3</v>
      </c>
      <c r="I23" s="47">
        <v>1601</v>
      </c>
      <c r="J23" s="51">
        <v>1601</v>
      </c>
      <c r="K23" s="52">
        <f>I23-J23</f>
        <v>0</v>
      </c>
      <c r="L23" s="47">
        <v>1538</v>
      </c>
      <c r="M23" s="53">
        <v>1538</v>
      </c>
      <c r="N23" s="52">
        <f>L23-M23</f>
        <v>0</v>
      </c>
    </row>
    <row r="24" spans="1:14" ht="14.5">
      <c r="A24" s="45"/>
      <c r="B24" s="46" t="s">
        <v>4</v>
      </c>
      <c r="C24" s="47">
        <v>496.82</v>
      </c>
      <c r="D24" s="64">
        <v>496.81770463719818</v>
      </c>
      <c r="E24" s="49">
        <f t="shared" ref="E24:E28" si="8">C24-D24</f>
        <v>2.2953628018171912E-3</v>
      </c>
      <c r="F24" s="47">
        <v>769.95</v>
      </c>
      <c r="G24" s="50">
        <v>769.95044207314697</v>
      </c>
      <c r="H24" s="49">
        <f t="shared" ref="H24:H28" si="9">F24-G24</f>
        <v>-4.4207314692812361E-4</v>
      </c>
      <c r="I24" s="47">
        <v>141189</v>
      </c>
      <c r="J24" s="65">
        <v>141189</v>
      </c>
      <c r="K24" s="52">
        <f t="shared" ref="K24:K28" si="10">I24-J24</f>
        <v>0</v>
      </c>
      <c r="L24" s="47">
        <v>181317</v>
      </c>
      <c r="M24" s="53">
        <v>181317</v>
      </c>
      <c r="N24" s="52">
        <f t="shared" ref="N24:N28" si="11">L24-M24</f>
        <v>0</v>
      </c>
    </row>
    <row r="25" spans="1:14" ht="14.5">
      <c r="A25" s="45"/>
      <c r="B25" s="46" t="s">
        <v>5</v>
      </c>
      <c r="C25" s="47">
        <v>772.84</v>
      </c>
      <c r="D25" s="48">
        <v>772.83987356099999</v>
      </c>
      <c r="E25" s="49">
        <f t="shared" si="8"/>
        <v>1.2643900004150055E-4</v>
      </c>
      <c r="F25" s="47">
        <v>1565.16</v>
      </c>
      <c r="G25" s="50">
        <v>1565.1588795795499</v>
      </c>
      <c r="H25" s="49">
        <f t="shared" si="9"/>
        <v>1.1204204502064385E-3</v>
      </c>
      <c r="I25" s="47">
        <v>35</v>
      </c>
      <c r="J25" s="51">
        <v>35</v>
      </c>
      <c r="K25" s="52">
        <f t="shared" si="10"/>
        <v>0</v>
      </c>
      <c r="L25" s="47">
        <v>57</v>
      </c>
      <c r="M25" s="53">
        <v>57</v>
      </c>
      <c r="N25" s="52">
        <f t="shared" si="11"/>
        <v>0</v>
      </c>
    </row>
    <row r="26" spans="1:14" ht="14.5">
      <c r="A26" s="45"/>
      <c r="B26" s="46" t="s">
        <v>6</v>
      </c>
      <c r="C26" s="47">
        <v>295.07</v>
      </c>
      <c r="D26" s="48">
        <v>527.22265483410308</v>
      </c>
      <c r="E26" s="49">
        <f t="shared" si="8"/>
        <v>-232.15265483410309</v>
      </c>
      <c r="F26" s="47">
        <v>2.78</v>
      </c>
      <c r="G26" s="62">
        <v>2.7842274230000807</v>
      </c>
      <c r="H26" s="49">
        <f t="shared" si="9"/>
        <v>-4.2274230000809432E-3</v>
      </c>
      <c r="I26" s="47">
        <v>0</v>
      </c>
      <c r="J26" s="51">
        <v>87</v>
      </c>
      <c r="K26" s="52">
        <f t="shared" si="10"/>
        <v>-87</v>
      </c>
      <c r="L26" s="47">
        <v>6</v>
      </c>
      <c r="M26" s="63">
        <v>6</v>
      </c>
      <c r="N26" s="52">
        <f t="shared" si="11"/>
        <v>0</v>
      </c>
    </row>
    <row r="27" spans="1:14" ht="14.5">
      <c r="A27" s="45"/>
      <c r="B27" s="46" t="s">
        <v>25</v>
      </c>
      <c r="C27" s="47">
        <v>232.15</v>
      </c>
      <c r="D27" s="48">
        <v>0</v>
      </c>
      <c r="E27" s="49">
        <f t="shared" si="8"/>
        <v>232.15</v>
      </c>
      <c r="F27" s="47">
        <v>230</v>
      </c>
      <c r="G27" s="50">
        <v>229.99580761624972</v>
      </c>
      <c r="H27" s="49">
        <f t="shared" si="9"/>
        <v>4.1923837502793049E-3</v>
      </c>
      <c r="I27" s="47">
        <v>87</v>
      </c>
      <c r="J27" s="51">
        <v>0</v>
      </c>
      <c r="K27" s="52">
        <f t="shared" si="10"/>
        <v>87</v>
      </c>
      <c r="L27" s="47">
        <v>39</v>
      </c>
      <c r="M27" s="53">
        <v>39</v>
      </c>
      <c r="N27" s="52">
        <f t="shared" si="11"/>
        <v>0</v>
      </c>
    </row>
    <row r="28" spans="1:14" s="40" customFormat="1">
      <c r="A28" s="41"/>
      <c r="B28" s="54"/>
      <c r="C28" s="55">
        <f>C23+C24+C25+C26+C27</f>
        <v>1830.97</v>
      </c>
      <c r="D28" s="56">
        <f>D23+D24+D25+D26+D27</f>
        <v>1830.9721941733014</v>
      </c>
      <c r="E28" s="57">
        <f t="shared" si="8"/>
        <v>-2.1941733014045894E-3</v>
      </c>
      <c r="F28" s="55">
        <f>F23+F24+F25+F26+F27</f>
        <v>2607.94</v>
      </c>
      <c r="G28" s="56">
        <f>G23+G24+G25+G26+G27</f>
        <v>2607.9411496251469</v>
      </c>
      <c r="H28" s="57">
        <f t="shared" si="9"/>
        <v>-1.1496251468088303E-3</v>
      </c>
      <c r="I28" s="55">
        <f>I23+I24+I25+I26+I27</f>
        <v>142912</v>
      </c>
      <c r="J28" s="58">
        <f>J23+J24+J25+J26+J27</f>
        <v>142912</v>
      </c>
      <c r="K28" s="59">
        <f t="shared" si="10"/>
        <v>0</v>
      </c>
      <c r="L28" s="55">
        <f>L23+L24+L25+L26+L27</f>
        <v>182957</v>
      </c>
      <c r="M28" s="58">
        <f>M23+M24+M25+M26+M27</f>
        <v>182957</v>
      </c>
      <c r="N28" s="59">
        <f t="shared" si="11"/>
        <v>0</v>
      </c>
    </row>
    <row r="29" spans="1:14" ht="14.5">
      <c r="A29" s="45"/>
      <c r="B29" s="46"/>
      <c r="C29" s="47"/>
      <c r="D29" s="48"/>
      <c r="E29" s="49"/>
      <c r="F29" s="47"/>
      <c r="G29" s="50"/>
      <c r="H29" s="49"/>
      <c r="I29" s="47"/>
      <c r="J29" s="51"/>
      <c r="K29" s="52"/>
      <c r="L29" s="47"/>
      <c r="M29" s="53"/>
      <c r="N29" s="52"/>
    </row>
    <row r="30" spans="1:14" s="40" customFormat="1">
      <c r="A30" s="41">
        <v>4</v>
      </c>
      <c r="B30" s="42" t="s">
        <v>14</v>
      </c>
      <c r="C30" s="47"/>
      <c r="D30" s="43"/>
      <c r="E30" s="60"/>
      <c r="F30" s="47"/>
      <c r="G30" s="43"/>
      <c r="H30" s="60"/>
      <c r="I30" s="47"/>
      <c r="J30" s="43"/>
      <c r="K30" s="61"/>
      <c r="L30" s="47"/>
      <c r="M30" s="43"/>
      <c r="N30" s="61"/>
    </row>
    <row r="31" spans="1:14" ht="14.5">
      <c r="A31" s="45"/>
      <c r="B31" s="46" t="s">
        <v>3</v>
      </c>
      <c r="C31" s="47">
        <v>6.28</v>
      </c>
      <c r="D31" s="48">
        <v>6.2799569550000003</v>
      </c>
      <c r="E31" s="49">
        <f>C31-D31</f>
        <v>4.3044999999963807E-5</v>
      </c>
      <c r="F31" s="47">
        <v>5.7</v>
      </c>
      <c r="G31" s="50">
        <v>5.701022085</v>
      </c>
      <c r="H31" s="49">
        <f>F31-G31</f>
        <v>-1.0220849999997839E-3</v>
      </c>
      <c r="I31" s="47">
        <v>141</v>
      </c>
      <c r="J31" s="51">
        <v>141</v>
      </c>
      <c r="K31" s="52">
        <f>I31-J31</f>
        <v>0</v>
      </c>
      <c r="L31" s="47">
        <v>139</v>
      </c>
      <c r="M31" s="53">
        <v>139</v>
      </c>
      <c r="N31" s="52">
        <f>L31-M31</f>
        <v>0</v>
      </c>
    </row>
    <row r="32" spans="1:14" ht="14.5">
      <c r="A32" s="45"/>
      <c r="B32" s="46" t="s">
        <v>4</v>
      </c>
      <c r="C32" s="47">
        <v>221.71</v>
      </c>
      <c r="D32" s="48">
        <v>221.70827241164798</v>
      </c>
      <c r="E32" s="49">
        <f t="shared" ref="E32:E36" si="12">C32-D32</f>
        <v>1.7275883520255775E-3</v>
      </c>
      <c r="F32" s="47">
        <v>216.01</v>
      </c>
      <c r="G32" s="50">
        <v>216.00590906700549</v>
      </c>
      <c r="H32" s="49">
        <f t="shared" ref="H32:H36" si="13">F32-G32</f>
        <v>4.0909329945009176E-3</v>
      </c>
      <c r="I32" s="47">
        <v>57116</v>
      </c>
      <c r="J32" s="51">
        <v>57116</v>
      </c>
      <c r="K32" s="52">
        <f t="shared" ref="K32:K36" si="14">I32-J32</f>
        <v>0</v>
      </c>
      <c r="L32" s="47">
        <v>56189</v>
      </c>
      <c r="M32" s="53">
        <v>56189</v>
      </c>
      <c r="N32" s="52">
        <f t="shared" ref="N32:N36" si="15">L32-M32</f>
        <v>0</v>
      </c>
    </row>
    <row r="33" spans="1:14" ht="14.5">
      <c r="A33" s="45"/>
      <c r="B33" s="46" t="s">
        <v>5</v>
      </c>
      <c r="C33" s="47">
        <v>146.1</v>
      </c>
      <c r="D33" s="48">
        <v>146.10067447599988</v>
      </c>
      <c r="E33" s="49">
        <f t="shared" si="12"/>
        <v>-6.7447599988668117E-4</v>
      </c>
      <c r="F33" s="47">
        <v>150.65</v>
      </c>
      <c r="G33" s="50">
        <v>150.64587784899993</v>
      </c>
      <c r="H33" s="49">
        <f t="shared" si="13"/>
        <v>4.1221510000752914E-3</v>
      </c>
      <c r="I33" s="47">
        <v>1</v>
      </c>
      <c r="J33" s="51">
        <v>1</v>
      </c>
      <c r="K33" s="52">
        <f t="shared" si="14"/>
        <v>0</v>
      </c>
      <c r="L33" s="47">
        <v>1</v>
      </c>
      <c r="M33" s="53">
        <v>1</v>
      </c>
      <c r="N33" s="52">
        <f t="shared" si="15"/>
        <v>0</v>
      </c>
    </row>
    <row r="34" spans="1:14" ht="14.5">
      <c r="A34" s="45"/>
      <c r="B34" s="46" t="s">
        <v>6</v>
      </c>
      <c r="C34" s="47">
        <v>0.05</v>
      </c>
      <c r="D34" s="48">
        <v>4.7783999999999993E-2</v>
      </c>
      <c r="E34" s="49">
        <f t="shared" si="12"/>
        <v>2.2160000000000096E-3</v>
      </c>
      <c r="F34" s="47">
        <v>0</v>
      </c>
      <c r="G34" s="50">
        <v>0</v>
      </c>
      <c r="H34" s="49">
        <f t="shared" si="13"/>
        <v>0</v>
      </c>
      <c r="I34" s="47">
        <v>1</v>
      </c>
      <c r="J34" s="51">
        <v>1</v>
      </c>
      <c r="K34" s="52">
        <f t="shared" si="14"/>
        <v>0</v>
      </c>
      <c r="L34" s="47">
        <v>0</v>
      </c>
      <c r="M34" s="53">
        <v>0</v>
      </c>
      <c r="N34" s="52">
        <f t="shared" si="15"/>
        <v>0</v>
      </c>
    </row>
    <row r="35" spans="1:14" ht="17.25" customHeight="1">
      <c r="A35" s="45"/>
      <c r="B35" s="46" t="s">
        <v>25</v>
      </c>
      <c r="C35" s="47">
        <v>0</v>
      </c>
      <c r="D35" s="48">
        <v>0</v>
      </c>
      <c r="E35" s="49">
        <f t="shared" si="12"/>
        <v>0</v>
      </c>
      <c r="F35" s="47">
        <v>0</v>
      </c>
      <c r="G35" s="50">
        <v>0</v>
      </c>
      <c r="H35" s="49">
        <f t="shared" si="13"/>
        <v>0</v>
      </c>
      <c r="I35" s="47">
        <v>0</v>
      </c>
      <c r="J35" s="51">
        <v>0</v>
      </c>
      <c r="K35" s="52">
        <f t="shared" si="14"/>
        <v>0</v>
      </c>
      <c r="L35" s="47">
        <v>0</v>
      </c>
      <c r="M35" s="53">
        <v>0</v>
      </c>
      <c r="N35" s="52">
        <f t="shared" si="15"/>
        <v>0</v>
      </c>
    </row>
    <row r="36" spans="1:14" s="40" customFormat="1" ht="17.25" customHeight="1">
      <c r="A36" s="41"/>
      <c r="B36" s="54"/>
      <c r="C36" s="55">
        <f>C31+C32+C33+C34+C35</f>
        <v>374.14000000000004</v>
      </c>
      <c r="D36" s="56">
        <f>D31+D32+D33+D34+D35</f>
        <v>374.1366878426478</v>
      </c>
      <c r="E36" s="57">
        <f t="shared" si="12"/>
        <v>3.3121573522407743E-3</v>
      </c>
      <c r="F36" s="55">
        <f>F31+F32+F33+F34+F35</f>
        <v>372.36</v>
      </c>
      <c r="G36" s="56">
        <f>G31+G32+G33+G34+G35</f>
        <v>372.35280900100543</v>
      </c>
      <c r="H36" s="57">
        <f t="shared" si="13"/>
        <v>7.1909989945879715E-3</v>
      </c>
      <c r="I36" s="55">
        <f>I31+I32+I33+I34+I35</f>
        <v>57259</v>
      </c>
      <c r="J36" s="58">
        <f>J31+J32+J33+J34+J35</f>
        <v>57259</v>
      </c>
      <c r="K36" s="59">
        <f t="shared" si="14"/>
        <v>0</v>
      </c>
      <c r="L36" s="55">
        <f>L31+L32+L33+L34+L35</f>
        <v>56329</v>
      </c>
      <c r="M36" s="58">
        <f>M31+M32+M33+M34+M35</f>
        <v>56329</v>
      </c>
      <c r="N36" s="59">
        <f t="shared" si="15"/>
        <v>0</v>
      </c>
    </row>
    <row r="37" spans="1:14" ht="17.25" customHeight="1">
      <c r="A37" s="45"/>
      <c r="B37" s="46"/>
      <c r="C37" s="47"/>
      <c r="D37" s="48"/>
      <c r="E37" s="49"/>
      <c r="F37" s="47"/>
      <c r="G37" s="50"/>
      <c r="H37" s="49"/>
      <c r="I37" s="47"/>
      <c r="J37" s="51"/>
      <c r="K37" s="52"/>
      <c r="L37" s="47"/>
      <c r="M37" s="53"/>
      <c r="N37" s="52"/>
    </row>
    <row r="38" spans="1:14" s="40" customFormat="1">
      <c r="A38" s="41">
        <v>5</v>
      </c>
      <c r="B38" s="42" t="s">
        <v>32</v>
      </c>
      <c r="C38" s="47"/>
      <c r="D38" s="43"/>
      <c r="E38" s="60"/>
      <c r="F38" s="47"/>
      <c r="G38" s="43"/>
      <c r="H38" s="60"/>
      <c r="I38" s="47"/>
      <c r="J38" s="43"/>
      <c r="K38" s="61"/>
      <c r="L38" s="47"/>
      <c r="M38" s="43"/>
      <c r="N38" s="61"/>
    </row>
    <row r="39" spans="1:14" ht="14.5">
      <c r="A39" s="45"/>
      <c r="B39" s="46" t="s">
        <v>3</v>
      </c>
      <c r="C39" s="47">
        <v>23.86</v>
      </c>
      <c r="D39" s="64">
        <v>23.864256499910798</v>
      </c>
      <c r="E39" s="49">
        <f>C39-D39</f>
        <v>-4.2564999107987944E-3</v>
      </c>
      <c r="F39" s="47">
        <v>42.84</v>
      </c>
      <c r="G39" s="50">
        <v>42.842520819593304</v>
      </c>
      <c r="H39" s="49">
        <f>F39-G39</f>
        <v>-2.5208195933004163E-3</v>
      </c>
      <c r="I39" s="47">
        <v>621</v>
      </c>
      <c r="J39" s="65">
        <v>621</v>
      </c>
      <c r="K39" s="52">
        <f>I39-J39</f>
        <v>0</v>
      </c>
      <c r="L39" s="47">
        <v>628</v>
      </c>
      <c r="M39" s="53">
        <v>628</v>
      </c>
      <c r="N39" s="52">
        <f>L39-M39</f>
        <v>0</v>
      </c>
    </row>
    <row r="40" spans="1:14" ht="14.5">
      <c r="A40" s="45"/>
      <c r="B40" s="46" t="s">
        <v>4</v>
      </c>
      <c r="C40" s="47">
        <v>390.59</v>
      </c>
      <c r="D40" s="48">
        <v>390.5855830678621</v>
      </c>
      <c r="E40" s="49">
        <f t="shared" ref="E40:E44" si="16">C40-D40</f>
        <v>4.4169321378717541E-3</v>
      </c>
      <c r="F40" s="47">
        <v>483.14</v>
      </c>
      <c r="G40" s="50">
        <v>483.14187835799851</v>
      </c>
      <c r="H40" s="49">
        <f t="shared" ref="H40:H44" si="17">F40-G40</f>
        <v>-1.8783579985210963E-3</v>
      </c>
      <c r="I40" s="47">
        <v>154973</v>
      </c>
      <c r="J40" s="51">
        <v>154973</v>
      </c>
      <c r="K40" s="52">
        <f t="shared" ref="K40:K44" si="18">I40-J40</f>
        <v>0</v>
      </c>
      <c r="L40" s="47">
        <v>146793</v>
      </c>
      <c r="M40" s="53">
        <v>146793</v>
      </c>
      <c r="N40" s="52">
        <f t="shared" ref="N40:N44" si="19">L40-M40</f>
        <v>0</v>
      </c>
    </row>
    <row r="41" spans="1:14" ht="14.5">
      <c r="A41" s="45"/>
      <c r="B41" s="46" t="s">
        <v>5</v>
      </c>
      <c r="C41" s="47">
        <v>12.04</v>
      </c>
      <c r="D41" s="48">
        <v>12.038073339000007</v>
      </c>
      <c r="E41" s="49">
        <f t="shared" si="16"/>
        <v>1.926660999991725E-3</v>
      </c>
      <c r="F41" s="47">
        <v>832.47</v>
      </c>
      <c r="G41" s="50">
        <v>832.47380228299937</v>
      </c>
      <c r="H41" s="49">
        <f t="shared" si="17"/>
        <v>-3.8022829993451523E-3</v>
      </c>
      <c r="I41" s="47">
        <v>2</v>
      </c>
      <c r="J41" s="51">
        <v>2</v>
      </c>
      <c r="K41" s="52">
        <f t="shared" si="18"/>
        <v>0</v>
      </c>
      <c r="L41" s="47">
        <v>32</v>
      </c>
      <c r="M41" s="53">
        <v>32</v>
      </c>
      <c r="N41" s="52">
        <f t="shared" si="19"/>
        <v>0</v>
      </c>
    </row>
    <row r="42" spans="1:14" ht="14.5">
      <c r="A42" s="45"/>
      <c r="B42" s="46" t="s">
        <v>6</v>
      </c>
      <c r="C42" s="47">
        <v>1038.51</v>
      </c>
      <c r="D42" s="64">
        <v>1085.9656684659999</v>
      </c>
      <c r="E42" s="49">
        <f t="shared" si="16"/>
        <v>-47.455668465999906</v>
      </c>
      <c r="F42" s="47">
        <v>65.680000000000007</v>
      </c>
      <c r="G42" s="50">
        <v>65.675931051999996</v>
      </c>
      <c r="H42" s="49">
        <f t="shared" si="17"/>
        <v>4.0689480000111189E-3</v>
      </c>
      <c r="I42" s="47">
        <v>45</v>
      </c>
      <c r="J42" s="65">
        <v>305</v>
      </c>
      <c r="K42" s="52">
        <f t="shared" si="18"/>
        <v>-260</v>
      </c>
      <c r="L42" s="47">
        <v>8</v>
      </c>
      <c r="M42" s="53">
        <v>8</v>
      </c>
      <c r="N42" s="52">
        <f t="shared" si="19"/>
        <v>0</v>
      </c>
    </row>
    <row r="43" spans="1:14" ht="14.5">
      <c r="A43" s="45"/>
      <c r="B43" s="46" t="s">
        <v>25</v>
      </c>
      <c r="C43" s="47">
        <v>47.45</v>
      </c>
      <c r="D43" s="64">
        <v>0</v>
      </c>
      <c r="E43" s="49">
        <f t="shared" si="16"/>
        <v>47.45</v>
      </c>
      <c r="F43" s="47">
        <v>52.68</v>
      </c>
      <c r="G43" s="50">
        <v>52.675157271645702</v>
      </c>
      <c r="H43" s="49">
        <f t="shared" si="17"/>
        <v>4.8427283542977761E-3</v>
      </c>
      <c r="I43" s="47">
        <v>260</v>
      </c>
      <c r="J43" s="65">
        <v>0</v>
      </c>
      <c r="K43" s="52">
        <f t="shared" si="18"/>
        <v>260</v>
      </c>
      <c r="L43" s="47">
        <v>486</v>
      </c>
      <c r="M43" s="53">
        <v>486</v>
      </c>
      <c r="N43" s="52">
        <f t="shared" si="19"/>
        <v>0</v>
      </c>
    </row>
    <row r="44" spans="1:14" s="40" customFormat="1">
      <c r="A44" s="41"/>
      <c r="B44" s="54"/>
      <c r="C44" s="55">
        <f>C39+C40+C41+C42+C43</f>
        <v>1512.45</v>
      </c>
      <c r="D44" s="56">
        <f>D39+D40+D41+D42+D43</f>
        <v>1512.4535813727728</v>
      </c>
      <c r="E44" s="57">
        <f t="shared" si="16"/>
        <v>-3.5813727727145306E-3</v>
      </c>
      <c r="F44" s="55">
        <f>F39+F40+F41+F42+F43</f>
        <v>1476.8100000000002</v>
      </c>
      <c r="G44" s="56">
        <f>G39+G40+G41+G42+G43</f>
        <v>1476.8092897842369</v>
      </c>
      <c r="H44" s="57">
        <f t="shared" si="17"/>
        <v>7.102157633198658E-4</v>
      </c>
      <c r="I44" s="55">
        <f>I39+I40+I41+I42+I43</f>
        <v>155901</v>
      </c>
      <c r="J44" s="58">
        <f>J39+J40+J41+J42+J43</f>
        <v>155901</v>
      </c>
      <c r="K44" s="59">
        <f t="shared" si="18"/>
        <v>0</v>
      </c>
      <c r="L44" s="55">
        <f>L39+L40+L41+L42+L43</f>
        <v>147947</v>
      </c>
      <c r="M44" s="58">
        <f>M39+M40+M41+M42+M43</f>
        <v>147947</v>
      </c>
      <c r="N44" s="59">
        <f t="shared" si="19"/>
        <v>0</v>
      </c>
    </row>
    <row r="45" spans="1:14" ht="14.5">
      <c r="A45" s="45"/>
      <c r="B45" s="46"/>
      <c r="C45" s="47"/>
      <c r="D45" s="64"/>
      <c r="E45" s="66"/>
      <c r="F45" s="47"/>
      <c r="G45" s="50"/>
      <c r="H45" s="66"/>
      <c r="I45" s="47"/>
      <c r="J45" s="65"/>
      <c r="K45" s="67"/>
      <c r="L45" s="47"/>
      <c r="M45" s="53"/>
      <c r="N45" s="67"/>
    </row>
    <row r="46" spans="1:14" s="40" customFormat="1">
      <c r="A46" s="41">
        <v>6</v>
      </c>
      <c r="B46" s="42" t="s">
        <v>18</v>
      </c>
      <c r="C46" s="47"/>
      <c r="D46" s="43"/>
      <c r="E46" s="60"/>
      <c r="F46" s="47"/>
      <c r="G46" s="43"/>
      <c r="H46" s="60"/>
      <c r="I46" s="47"/>
      <c r="J46" s="43"/>
      <c r="K46" s="61"/>
      <c r="L46" s="47"/>
      <c r="M46" s="43"/>
      <c r="N46" s="61"/>
    </row>
    <row r="47" spans="1:14" ht="14.5">
      <c r="A47" s="45"/>
      <c r="B47" s="46" t="s">
        <v>3</v>
      </c>
      <c r="C47" s="47">
        <v>13.81</v>
      </c>
      <c r="D47" s="48">
        <v>13.812173556999996</v>
      </c>
      <c r="E47" s="49">
        <f>C47-D47</f>
        <v>-2.1735569999954407E-3</v>
      </c>
      <c r="F47" s="47">
        <v>8.9499999999999993</v>
      </c>
      <c r="G47" s="50">
        <v>8.9504538259999986</v>
      </c>
      <c r="H47" s="49">
        <f>F47-G47</f>
        <v>-4.5382599999932438E-4</v>
      </c>
      <c r="I47" s="47">
        <v>104</v>
      </c>
      <c r="J47" s="51">
        <v>104</v>
      </c>
      <c r="K47" s="52">
        <f>I47-J47</f>
        <v>0</v>
      </c>
      <c r="L47" s="47">
        <v>203</v>
      </c>
      <c r="M47" s="53">
        <v>203</v>
      </c>
      <c r="N47" s="52">
        <f>L47-M47</f>
        <v>0</v>
      </c>
    </row>
    <row r="48" spans="1:14" ht="14.5">
      <c r="A48" s="45"/>
      <c r="B48" s="46" t="s">
        <v>4</v>
      </c>
      <c r="C48" s="47">
        <v>259.36</v>
      </c>
      <c r="D48" s="48">
        <v>259.36089985799555</v>
      </c>
      <c r="E48" s="49">
        <f t="shared" ref="E48:E52" si="20">C48-D48</f>
        <v>-8.9985799553460311E-4</v>
      </c>
      <c r="F48" s="47">
        <v>446.71</v>
      </c>
      <c r="G48" s="62">
        <v>446.7149951219937</v>
      </c>
      <c r="H48" s="49">
        <f t="shared" ref="H48:H52" si="21">F48-G48</f>
        <v>-4.9951219937156566E-3</v>
      </c>
      <c r="I48" s="47">
        <v>44559</v>
      </c>
      <c r="J48" s="51">
        <v>44559</v>
      </c>
      <c r="K48" s="52">
        <f t="shared" ref="K48:K52" si="22">I48-J48</f>
        <v>0</v>
      </c>
      <c r="L48" s="47">
        <v>60240</v>
      </c>
      <c r="M48" s="63">
        <v>60240</v>
      </c>
      <c r="N48" s="52">
        <f t="shared" ref="N48:N52" si="23">L48-M48</f>
        <v>0</v>
      </c>
    </row>
    <row r="49" spans="1:14" ht="14.25" customHeight="1">
      <c r="A49" s="45"/>
      <c r="B49" s="46" t="s">
        <v>5</v>
      </c>
      <c r="C49" s="47">
        <v>236.44</v>
      </c>
      <c r="D49" s="64">
        <v>236.69140735000002</v>
      </c>
      <c r="E49" s="49">
        <f t="shared" si="20"/>
        <v>-0.25140735000002223</v>
      </c>
      <c r="F49" s="47">
        <v>242.16</v>
      </c>
      <c r="G49" s="68">
        <v>242.16045490889832</v>
      </c>
      <c r="H49" s="49">
        <f t="shared" si="21"/>
        <v>-4.5490889831967252E-4</v>
      </c>
      <c r="I49" s="47">
        <v>0</v>
      </c>
      <c r="J49" s="65">
        <v>16</v>
      </c>
      <c r="K49" s="52">
        <f t="shared" si="22"/>
        <v>-16</v>
      </c>
      <c r="L49" s="47">
        <v>7</v>
      </c>
      <c r="M49" s="69">
        <v>7</v>
      </c>
      <c r="N49" s="52">
        <f t="shared" si="23"/>
        <v>0</v>
      </c>
    </row>
    <row r="50" spans="1:14" ht="14.5">
      <c r="A50" s="45"/>
      <c r="B50" s="46" t="s">
        <v>6</v>
      </c>
      <c r="C50" s="47">
        <v>2.06</v>
      </c>
      <c r="D50" s="64">
        <v>2.0641899390000003</v>
      </c>
      <c r="E50" s="49">
        <f t="shared" si="20"/>
        <v>-4.1899390000001979E-3</v>
      </c>
      <c r="F50" s="47">
        <v>2.8</v>
      </c>
      <c r="G50" s="50">
        <v>2.8009206522542378</v>
      </c>
      <c r="H50" s="49">
        <f t="shared" si="21"/>
        <v>-9.206522542379858E-4</v>
      </c>
      <c r="I50" s="47">
        <v>0</v>
      </c>
      <c r="J50" s="65">
        <v>0</v>
      </c>
      <c r="K50" s="52">
        <f t="shared" si="22"/>
        <v>0</v>
      </c>
      <c r="L50" s="47">
        <v>3</v>
      </c>
      <c r="M50" s="53">
        <v>3</v>
      </c>
      <c r="N50" s="52">
        <f t="shared" si="23"/>
        <v>0</v>
      </c>
    </row>
    <row r="51" spans="1:14" ht="14.5">
      <c r="A51" s="45"/>
      <c r="B51" s="46" t="s">
        <v>25</v>
      </c>
      <c r="C51" s="47">
        <v>0.27</v>
      </c>
      <c r="D51" s="64">
        <v>0</v>
      </c>
      <c r="E51" s="49">
        <f t="shared" si="20"/>
        <v>0.27</v>
      </c>
      <c r="F51" s="47">
        <v>37.229999999999997</v>
      </c>
      <c r="G51" s="50">
        <v>37.231922632</v>
      </c>
      <c r="H51" s="49">
        <f t="shared" si="21"/>
        <v>-1.9226320000029773E-3</v>
      </c>
      <c r="I51" s="47">
        <v>16</v>
      </c>
      <c r="J51" s="65">
        <v>0</v>
      </c>
      <c r="K51" s="52">
        <f t="shared" si="22"/>
        <v>16</v>
      </c>
      <c r="L51" s="47">
        <v>9</v>
      </c>
      <c r="M51" s="53">
        <v>9</v>
      </c>
      <c r="N51" s="52">
        <f t="shared" si="23"/>
        <v>0</v>
      </c>
    </row>
    <row r="52" spans="1:14" s="40" customFormat="1">
      <c r="A52" s="41"/>
      <c r="B52" s="54"/>
      <c r="C52" s="55">
        <f>C47+C48+C49+C50+C51</f>
        <v>511.94</v>
      </c>
      <c r="D52" s="56">
        <f>D47+D48+D49+D50+D51</f>
        <v>511.92867070399558</v>
      </c>
      <c r="E52" s="57">
        <f t="shared" si="20"/>
        <v>1.132929600441912E-2</v>
      </c>
      <c r="F52" s="55">
        <f>F47+F48+F49+F50+F51</f>
        <v>737.84999999999991</v>
      </c>
      <c r="G52" s="56">
        <f>G47+G48+G49+G50+G51</f>
        <v>737.85874714114618</v>
      </c>
      <c r="H52" s="57">
        <f t="shared" si="21"/>
        <v>-8.747141146272952E-3</v>
      </c>
      <c r="I52" s="55">
        <f>I47+I48+I49+I50+I51</f>
        <v>44679</v>
      </c>
      <c r="J52" s="58">
        <f>J47+J48+J49+J50+J51</f>
        <v>44679</v>
      </c>
      <c r="K52" s="59">
        <f t="shared" si="22"/>
        <v>0</v>
      </c>
      <c r="L52" s="55">
        <f>L47+L48+L49+L50+L51</f>
        <v>60462</v>
      </c>
      <c r="M52" s="58">
        <f>M47+M48+M49+M50+M51</f>
        <v>60462</v>
      </c>
      <c r="N52" s="59">
        <f t="shared" si="23"/>
        <v>0</v>
      </c>
    </row>
    <row r="53" spans="1:14" ht="14.5">
      <c r="A53" s="45"/>
      <c r="B53" s="46"/>
      <c r="C53" s="47"/>
      <c r="D53" s="64"/>
      <c r="E53" s="66"/>
      <c r="F53" s="47"/>
      <c r="G53" s="50"/>
      <c r="H53" s="66"/>
      <c r="I53" s="47"/>
      <c r="J53" s="65"/>
      <c r="K53" s="67"/>
      <c r="L53" s="47"/>
      <c r="M53" s="53"/>
      <c r="N53" s="67"/>
    </row>
    <row r="54" spans="1:14" s="40" customFormat="1">
      <c r="A54" s="41">
        <v>7</v>
      </c>
      <c r="B54" s="42" t="s">
        <v>33</v>
      </c>
      <c r="C54" s="47"/>
      <c r="D54" s="43"/>
      <c r="E54" s="60"/>
      <c r="F54" s="47"/>
      <c r="G54" s="43"/>
      <c r="H54" s="60"/>
      <c r="I54" s="47"/>
      <c r="J54" s="43"/>
      <c r="K54" s="61"/>
      <c r="L54" s="47"/>
      <c r="M54" s="43"/>
      <c r="N54" s="61"/>
    </row>
    <row r="55" spans="1:14" ht="14.5">
      <c r="A55" s="45"/>
      <c r="B55" s="46" t="s">
        <v>3</v>
      </c>
      <c r="C55" s="47">
        <v>22.05</v>
      </c>
      <c r="D55" s="64">
        <v>22.052132099999998</v>
      </c>
      <c r="E55" s="49">
        <f>C55-D55</f>
        <v>-2.1320999999971946E-3</v>
      </c>
      <c r="F55" s="47">
        <v>21.99</v>
      </c>
      <c r="G55" s="68">
        <v>21.994518399999997</v>
      </c>
      <c r="H55" s="49">
        <f>F55-G55</f>
        <v>-4.5183999999984792E-3</v>
      </c>
      <c r="I55" s="47">
        <v>2094</v>
      </c>
      <c r="J55" s="65">
        <v>2094</v>
      </c>
      <c r="K55" s="52">
        <f>I55-J55</f>
        <v>0</v>
      </c>
      <c r="L55" s="47">
        <v>4684</v>
      </c>
      <c r="M55" s="69">
        <v>4684</v>
      </c>
      <c r="N55" s="52">
        <f>L55-M55</f>
        <v>0</v>
      </c>
    </row>
    <row r="56" spans="1:14" ht="14.5">
      <c r="A56" s="45"/>
      <c r="B56" s="46" t="s">
        <v>4</v>
      </c>
      <c r="C56" s="47">
        <v>93.67</v>
      </c>
      <c r="D56" s="64">
        <v>93.670940286999993</v>
      </c>
      <c r="E56" s="49">
        <f t="shared" ref="E56:E60" si="24">C56-D56</f>
        <v>-9.4028699999171295E-4</v>
      </c>
      <c r="F56" s="47">
        <v>172.71</v>
      </c>
      <c r="G56" s="68">
        <v>172.71187394100002</v>
      </c>
      <c r="H56" s="49">
        <f t="shared" ref="H56:H60" si="25">F56-G56</f>
        <v>-1.8739410000137013E-3</v>
      </c>
      <c r="I56" s="47">
        <v>34099</v>
      </c>
      <c r="J56" s="65">
        <v>34099</v>
      </c>
      <c r="K56" s="52">
        <f t="shared" ref="K56:K60" si="26">I56-J56</f>
        <v>0</v>
      </c>
      <c r="L56" s="47">
        <v>46850</v>
      </c>
      <c r="M56" s="69">
        <v>46850</v>
      </c>
      <c r="N56" s="52">
        <f t="shared" ref="N56:N60" si="27">L56-M56</f>
        <v>0</v>
      </c>
    </row>
    <row r="57" spans="1:14" ht="14.5">
      <c r="A57" s="45"/>
      <c r="B57" s="46" t="s">
        <v>5</v>
      </c>
      <c r="C57" s="47">
        <v>311.14999999999998</v>
      </c>
      <c r="D57" s="70">
        <v>387.01466527181691</v>
      </c>
      <c r="E57" s="49">
        <f t="shared" si="24"/>
        <v>-75.864665271816932</v>
      </c>
      <c r="F57" s="47">
        <v>508.39</v>
      </c>
      <c r="G57" s="68">
        <v>508.39284823018897</v>
      </c>
      <c r="H57" s="49">
        <f t="shared" si="25"/>
        <v>-2.8482301889880546E-3</v>
      </c>
      <c r="I57" s="47">
        <v>12</v>
      </c>
      <c r="J57" s="71">
        <v>320</v>
      </c>
      <c r="K57" s="52">
        <f t="shared" si="26"/>
        <v>-308</v>
      </c>
      <c r="L57" s="47">
        <v>14</v>
      </c>
      <c r="M57" s="69">
        <v>14</v>
      </c>
      <c r="N57" s="52">
        <f t="shared" si="27"/>
        <v>0</v>
      </c>
    </row>
    <row r="58" spans="1:14" ht="14.5">
      <c r="A58" s="45"/>
      <c r="B58" s="46" t="s">
        <v>6</v>
      </c>
      <c r="C58" s="47">
        <v>0</v>
      </c>
      <c r="D58" s="48">
        <v>0</v>
      </c>
      <c r="E58" s="49">
        <f t="shared" si="24"/>
        <v>0</v>
      </c>
      <c r="F58" s="47">
        <v>0</v>
      </c>
      <c r="G58" s="62">
        <v>0</v>
      </c>
      <c r="H58" s="49">
        <f t="shared" si="25"/>
        <v>0</v>
      </c>
      <c r="I58" s="47">
        <v>0</v>
      </c>
      <c r="J58" s="51">
        <v>0</v>
      </c>
      <c r="K58" s="52">
        <f t="shared" si="26"/>
        <v>0</v>
      </c>
      <c r="L58" s="47">
        <v>0</v>
      </c>
      <c r="M58" s="63">
        <v>0</v>
      </c>
      <c r="N58" s="52">
        <f t="shared" si="27"/>
        <v>0</v>
      </c>
    </row>
    <row r="59" spans="1:14" ht="14.5">
      <c r="A59" s="45"/>
      <c r="B59" s="46" t="s">
        <v>25</v>
      </c>
      <c r="C59" s="47">
        <v>75.87</v>
      </c>
      <c r="D59" s="48">
        <v>0</v>
      </c>
      <c r="E59" s="49">
        <f t="shared" si="24"/>
        <v>75.87</v>
      </c>
      <c r="F59" s="47">
        <v>164.57</v>
      </c>
      <c r="G59" s="50">
        <v>164.57301198342503</v>
      </c>
      <c r="H59" s="49">
        <f t="shared" si="25"/>
        <v>-3.0119834250399435E-3</v>
      </c>
      <c r="I59" s="47">
        <v>308</v>
      </c>
      <c r="J59" s="51">
        <v>0</v>
      </c>
      <c r="K59" s="52">
        <f t="shared" si="26"/>
        <v>308</v>
      </c>
      <c r="L59" s="47">
        <v>766</v>
      </c>
      <c r="M59" s="53">
        <v>766</v>
      </c>
      <c r="N59" s="52">
        <f t="shared" si="27"/>
        <v>0</v>
      </c>
    </row>
    <row r="60" spans="1:14" s="40" customFormat="1">
      <c r="A60" s="41"/>
      <c r="B60" s="54"/>
      <c r="C60" s="55">
        <f>C55+C56+C57+C58+C59</f>
        <v>502.74</v>
      </c>
      <c r="D60" s="56">
        <f>D55+D56+D57+D58+D59</f>
        <v>502.73773765881691</v>
      </c>
      <c r="E60" s="57">
        <f t="shared" si="24"/>
        <v>2.2623411830977602E-3</v>
      </c>
      <c r="F60" s="55">
        <f>F55+F56+F57+F58+F59</f>
        <v>867.66000000000008</v>
      </c>
      <c r="G60" s="56">
        <f>G55+G56+G57+G58+G59</f>
        <v>867.67225255461403</v>
      </c>
      <c r="H60" s="57">
        <f t="shared" si="25"/>
        <v>-1.2252554613951361E-2</v>
      </c>
      <c r="I60" s="55">
        <f>I55+I56+I57+I58+I59</f>
        <v>36513</v>
      </c>
      <c r="J60" s="58">
        <f>J55+J56+J57+J58+J59</f>
        <v>36513</v>
      </c>
      <c r="K60" s="59">
        <f t="shared" si="26"/>
        <v>0</v>
      </c>
      <c r="L60" s="55">
        <f>L55+L56+L57+L58+L59</f>
        <v>52314</v>
      </c>
      <c r="M60" s="58">
        <f>M55+M56+M57+M58+M59</f>
        <v>52314</v>
      </c>
      <c r="N60" s="59">
        <f t="shared" si="27"/>
        <v>0</v>
      </c>
    </row>
    <row r="61" spans="1:14" ht="14.5">
      <c r="A61" s="45"/>
      <c r="B61" s="46"/>
      <c r="C61" s="47"/>
      <c r="D61" s="48"/>
      <c r="E61" s="49"/>
      <c r="F61" s="47"/>
      <c r="G61" s="50"/>
      <c r="H61" s="49"/>
      <c r="I61" s="47"/>
      <c r="J61" s="51"/>
      <c r="K61" s="52"/>
      <c r="L61" s="47"/>
      <c r="M61" s="53"/>
      <c r="N61" s="52"/>
    </row>
    <row r="62" spans="1:14" s="40" customFormat="1">
      <c r="A62" s="41">
        <v>8</v>
      </c>
      <c r="B62" s="42" t="s">
        <v>34</v>
      </c>
      <c r="C62" s="47"/>
      <c r="D62" s="43"/>
      <c r="E62" s="60"/>
      <c r="F62" s="47"/>
      <c r="G62" s="43"/>
      <c r="H62" s="60"/>
      <c r="I62" s="47"/>
      <c r="J62" s="43"/>
      <c r="K62" s="61"/>
      <c r="L62" s="47"/>
      <c r="M62" s="43"/>
      <c r="N62" s="61"/>
    </row>
    <row r="63" spans="1:14" ht="14.5">
      <c r="A63" s="45"/>
      <c r="B63" s="46" t="s">
        <v>3</v>
      </c>
      <c r="C63" s="47">
        <v>7.52</v>
      </c>
      <c r="D63" s="72">
        <v>7.518472721000002</v>
      </c>
      <c r="E63" s="49">
        <f>C63-D63</f>
        <v>1.5272789999976055E-3</v>
      </c>
      <c r="F63" s="47">
        <v>9.09</v>
      </c>
      <c r="G63" s="50">
        <v>9.0917452440000019</v>
      </c>
      <c r="H63" s="49">
        <f>F63-G63</f>
        <v>-1.7452440000020886E-3</v>
      </c>
      <c r="I63" s="47">
        <v>233</v>
      </c>
      <c r="J63" s="73">
        <v>233</v>
      </c>
      <c r="K63" s="52">
        <f>I63-J63</f>
        <v>0</v>
      </c>
      <c r="L63" s="47">
        <v>711</v>
      </c>
      <c r="M63" s="53">
        <v>711</v>
      </c>
      <c r="N63" s="52">
        <f>L63-M63</f>
        <v>0</v>
      </c>
    </row>
    <row r="64" spans="1:14" ht="14.5">
      <c r="A64" s="45"/>
      <c r="B64" s="46" t="s">
        <v>4</v>
      </c>
      <c r="C64" s="47">
        <v>65.78</v>
      </c>
      <c r="D64" s="72">
        <v>65.784743035000673</v>
      </c>
      <c r="E64" s="49">
        <f t="shared" ref="E64:E68" si="28">C64-D64</f>
        <v>-4.7430350006720801E-3</v>
      </c>
      <c r="F64" s="47">
        <v>94.31</v>
      </c>
      <c r="G64" s="68">
        <v>94.310013575999761</v>
      </c>
      <c r="H64" s="49">
        <f t="shared" ref="H64:H68" si="29">F64-G64</f>
        <v>-1.3575999759041224E-5</v>
      </c>
      <c r="I64" s="47">
        <v>19158</v>
      </c>
      <c r="J64" s="73">
        <v>19158</v>
      </c>
      <c r="K64" s="52">
        <f t="shared" ref="K64:K68" si="30">I64-J64</f>
        <v>0</v>
      </c>
      <c r="L64" s="47">
        <v>26795</v>
      </c>
      <c r="M64" s="69">
        <v>26795</v>
      </c>
      <c r="N64" s="52">
        <f t="shared" ref="N64:N68" si="31">L64-M64</f>
        <v>0</v>
      </c>
    </row>
    <row r="65" spans="1:14" ht="14.5">
      <c r="A65" s="45"/>
      <c r="B65" s="46" t="s">
        <v>5</v>
      </c>
      <c r="C65" s="47">
        <v>10.48</v>
      </c>
      <c r="D65" s="72">
        <v>10.475672536999998</v>
      </c>
      <c r="E65" s="49">
        <f t="shared" si="28"/>
        <v>4.3274630000027514E-3</v>
      </c>
      <c r="F65" s="47">
        <v>18.670000000000002</v>
      </c>
      <c r="G65" s="68">
        <v>18.667444265</v>
      </c>
      <c r="H65" s="49">
        <f t="shared" si="29"/>
        <v>2.5557350000013912E-3</v>
      </c>
      <c r="I65" s="47">
        <v>0</v>
      </c>
      <c r="J65" s="73">
        <v>0</v>
      </c>
      <c r="K65" s="52">
        <f t="shared" si="30"/>
        <v>0</v>
      </c>
      <c r="L65" s="47">
        <v>0</v>
      </c>
      <c r="M65" s="69">
        <v>0</v>
      </c>
      <c r="N65" s="52">
        <f t="shared" si="31"/>
        <v>0</v>
      </c>
    </row>
    <row r="66" spans="1:14" ht="14.5">
      <c r="A66" s="45"/>
      <c r="B66" s="46" t="s">
        <v>6</v>
      </c>
      <c r="C66" s="47">
        <v>0.98</v>
      </c>
      <c r="D66" s="48">
        <v>20.45227277699454</v>
      </c>
      <c r="E66" s="49">
        <f t="shared" si="28"/>
        <v>-19.47227277699454</v>
      </c>
      <c r="F66" s="47">
        <v>9.68</v>
      </c>
      <c r="G66" s="68">
        <v>9.6828967000000006</v>
      </c>
      <c r="H66" s="49">
        <f t="shared" si="29"/>
        <v>-2.8967000000008625E-3</v>
      </c>
      <c r="I66" s="47">
        <v>3</v>
      </c>
      <c r="J66" s="51">
        <v>63</v>
      </c>
      <c r="K66" s="52">
        <f t="shared" si="30"/>
        <v>-60</v>
      </c>
      <c r="L66" s="47">
        <v>9</v>
      </c>
      <c r="M66" s="69">
        <v>9</v>
      </c>
      <c r="N66" s="52">
        <f t="shared" si="31"/>
        <v>0</v>
      </c>
    </row>
    <row r="67" spans="1:14" ht="14.5">
      <c r="A67" s="45"/>
      <c r="B67" s="46" t="s">
        <v>25</v>
      </c>
      <c r="C67" s="47">
        <v>19.47</v>
      </c>
      <c r="D67" s="48">
        <v>0</v>
      </c>
      <c r="E67" s="49">
        <f t="shared" si="28"/>
        <v>19.47</v>
      </c>
      <c r="F67" s="47">
        <v>12.94</v>
      </c>
      <c r="G67" s="68">
        <v>12.936288601479458</v>
      </c>
      <c r="H67" s="49">
        <f t="shared" si="29"/>
        <v>3.7113985205419198E-3</v>
      </c>
      <c r="I67" s="47">
        <v>60</v>
      </c>
      <c r="J67" s="51">
        <v>0</v>
      </c>
      <c r="K67" s="52">
        <f t="shared" si="30"/>
        <v>60</v>
      </c>
      <c r="L67" s="47">
        <v>36</v>
      </c>
      <c r="M67" s="69">
        <v>36</v>
      </c>
      <c r="N67" s="52">
        <f t="shared" si="31"/>
        <v>0</v>
      </c>
    </row>
    <row r="68" spans="1:14" s="40" customFormat="1">
      <c r="A68" s="41"/>
      <c r="B68" s="54"/>
      <c r="C68" s="55">
        <f>C63+C64+C65+C66+C67</f>
        <v>104.23</v>
      </c>
      <c r="D68" s="56">
        <f>D63+D64+D65+D66+D67</f>
        <v>104.23116106999521</v>
      </c>
      <c r="E68" s="57">
        <f t="shared" si="28"/>
        <v>-1.1610699952058212E-3</v>
      </c>
      <c r="F68" s="55">
        <f>F63+F64+F65+F66+F67</f>
        <v>144.69</v>
      </c>
      <c r="G68" s="56">
        <f>G63+G64+G65+G66+G67</f>
        <v>144.6883883864792</v>
      </c>
      <c r="H68" s="57">
        <f t="shared" si="29"/>
        <v>1.6116135207937532E-3</v>
      </c>
      <c r="I68" s="55">
        <f>I63+I64+I65+I66+I67</f>
        <v>19454</v>
      </c>
      <c r="J68" s="58">
        <f>J63+J64+J65+J66+J67</f>
        <v>19454</v>
      </c>
      <c r="K68" s="59">
        <f t="shared" si="30"/>
        <v>0</v>
      </c>
      <c r="L68" s="55">
        <f>L63+L64+L65+L66+L67</f>
        <v>27551</v>
      </c>
      <c r="M68" s="58">
        <f>M63+M64+M65+M66+M67</f>
        <v>27551</v>
      </c>
      <c r="N68" s="59">
        <f t="shared" si="31"/>
        <v>0</v>
      </c>
    </row>
    <row r="69" spans="1:14" ht="14.5">
      <c r="A69" s="45"/>
      <c r="B69" s="46"/>
      <c r="C69" s="47"/>
      <c r="D69" s="48"/>
      <c r="E69" s="49"/>
      <c r="F69" s="47"/>
      <c r="G69" s="68"/>
      <c r="H69" s="49"/>
      <c r="I69" s="47"/>
      <c r="J69" s="51"/>
      <c r="K69" s="52"/>
      <c r="L69" s="47"/>
      <c r="M69" s="69"/>
      <c r="N69" s="52"/>
    </row>
    <row r="70" spans="1:14" s="74" customFormat="1">
      <c r="A70" s="41">
        <v>9</v>
      </c>
      <c r="B70" s="42" t="s">
        <v>20</v>
      </c>
      <c r="C70" s="47"/>
      <c r="D70" s="43"/>
      <c r="E70" s="60"/>
      <c r="F70" s="47"/>
      <c r="G70" s="43"/>
      <c r="H70" s="60"/>
      <c r="I70" s="47"/>
      <c r="J70" s="43"/>
      <c r="K70" s="61"/>
      <c r="L70" s="47"/>
      <c r="M70" s="43"/>
      <c r="N70" s="61"/>
    </row>
    <row r="71" spans="1:14" s="77" customFormat="1" ht="14.5">
      <c r="A71" s="45"/>
      <c r="B71" s="46" t="s">
        <v>3</v>
      </c>
      <c r="C71" s="47">
        <v>206.98</v>
      </c>
      <c r="D71" s="75">
        <v>206.97788038000002</v>
      </c>
      <c r="E71" s="49">
        <f>C71-D71</f>
        <v>2.1196199999735654E-3</v>
      </c>
      <c r="F71" s="47">
        <v>19.079999999999998</v>
      </c>
      <c r="G71" s="68">
        <v>19.077341993999998</v>
      </c>
      <c r="H71" s="49">
        <f>F71-G71</f>
        <v>2.6580060000007677E-3</v>
      </c>
      <c r="I71" s="47">
        <v>285</v>
      </c>
      <c r="J71" s="76">
        <v>285</v>
      </c>
      <c r="K71" s="52">
        <f>I71-J71</f>
        <v>0</v>
      </c>
      <c r="L71" s="47">
        <v>292</v>
      </c>
      <c r="M71" s="69">
        <v>292</v>
      </c>
      <c r="N71" s="52">
        <f>L71-M71</f>
        <v>0</v>
      </c>
    </row>
    <row r="72" spans="1:14" s="77" customFormat="1" ht="14.5">
      <c r="A72" s="45"/>
      <c r="B72" s="46" t="s">
        <v>4</v>
      </c>
      <c r="C72" s="47">
        <v>324.88</v>
      </c>
      <c r="D72" s="75">
        <v>324.88155582899998</v>
      </c>
      <c r="E72" s="49">
        <f t="shared" ref="E72:E76" si="32">C72-D72</f>
        <v>-1.5558289999830777E-3</v>
      </c>
      <c r="F72" s="47">
        <v>319.63</v>
      </c>
      <c r="G72" s="68">
        <v>319.62536685800001</v>
      </c>
      <c r="H72" s="49">
        <f t="shared" ref="H72:H76" si="33">F72-G72</f>
        <v>4.6331419999887657E-3</v>
      </c>
      <c r="I72" s="47">
        <v>104069</v>
      </c>
      <c r="J72" s="76">
        <v>104069</v>
      </c>
      <c r="K72" s="52">
        <f t="shared" ref="K72:K76" si="34">I72-J72</f>
        <v>0</v>
      </c>
      <c r="L72" s="47">
        <v>111867</v>
      </c>
      <c r="M72" s="69">
        <v>111867</v>
      </c>
      <c r="N72" s="52">
        <f t="shared" ref="N72:N76" si="35">L72-M72</f>
        <v>0</v>
      </c>
    </row>
    <row r="73" spans="1:14" s="77" customFormat="1" ht="14.5">
      <c r="A73" s="45"/>
      <c r="B73" s="46" t="s">
        <v>5</v>
      </c>
      <c r="C73" s="47">
        <v>0</v>
      </c>
      <c r="D73" s="75">
        <v>0</v>
      </c>
      <c r="E73" s="49">
        <f t="shared" si="32"/>
        <v>0</v>
      </c>
      <c r="F73" s="47">
        <v>0.25</v>
      </c>
      <c r="G73" s="50">
        <v>0.24548562999999998</v>
      </c>
      <c r="H73" s="49">
        <f t="shared" si="33"/>
        <v>4.5143700000000175E-3</v>
      </c>
      <c r="I73" s="47">
        <v>0</v>
      </c>
      <c r="J73" s="76">
        <v>0</v>
      </c>
      <c r="K73" s="52">
        <f t="shared" si="34"/>
        <v>0</v>
      </c>
      <c r="L73" s="47">
        <v>0</v>
      </c>
      <c r="M73" s="53">
        <v>0</v>
      </c>
      <c r="N73" s="52">
        <f t="shared" si="35"/>
        <v>0</v>
      </c>
    </row>
    <row r="74" spans="1:14" s="77" customFormat="1" ht="14.5">
      <c r="A74" s="45"/>
      <c r="B74" s="46" t="s">
        <v>6</v>
      </c>
      <c r="C74" s="47">
        <v>17.07</v>
      </c>
      <c r="D74" s="75">
        <v>31.029780949587433</v>
      </c>
      <c r="E74" s="49">
        <f t="shared" si="32"/>
        <v>-13.959780949587433</v>
      </c>
      <c r="F74" s="47">
        <v>44.92</v>
      </c>
      <c r="G74" s="78">
        <v>44.924589502345299</v>
      </c>
      <c r="H74" s="49">
        <f t="shared" si="33"/>
        <v>-4.5895023452970918E-3</v>
      </c>
      <c r="I74" s="47">
        <v>154</v>
      </c>
      <c r="J74" s="76">
        <v>154</v>
      </c>
      <c r="K74" s="52">
        <f t="shared" si="34"/>
        <v>0</v>
      </c>
      <c r="L74" s="47">
        <v>144</v>
      </c>
      <c r="M74" s="79">
        <v>144</v>
      </c>
      <c r="N74" s="52">
        <f t="shared" si="35"/>
        <v>0</v>
      </c>
    </row>
    <row r="75" spans="1:14" s="77" customFormat="1" ht="14.5">
      <c r="A75" s="45"/>
      <c r="B75" s="46" t="s">
        <v>25</v>
      </c>
      <c r="C75" s="47">
        <v>13.96</v>
      </c>
      <c r="D75" s="75">
        <v>0</v>
      </c>
      <c r="E75" s="49">
        <f t="shared" si="32"/>
        <v>13.96</v>
      </c>
      <c r="F75" s="47">
        <v>17.84</v>
      </c>
      <c r="G75" s="50">
        <v>17.843249590678486</v>
      </c>
      <c r="H75" s="49">
        <f t="shared" si="33"/>
        <v>-3.2495906784859585E-3</v>
      </c>
      <c r="I75" s="47">
        <v>0</v>
      </c>
      <c r="J75" s="76">
        <v>0</v>
      </c>
      <c r="K75" s="52">
        <f t="shared" si="34"/>
        <v>0</v>
      </c>
      <c r="L75" s="47">
        <v>0</v>
      </c>
      <c r="M75" s="53">
        <v>0</v>
      </c>
      <c r="N75" s="52">
        <f t="shared" si="35"/>
        <v>0</v>
      </c>
    </row>
    <row r="76" spans="1:14" s="74" customFormat="1">
      <c r="A76" s="41"/>
      <c r="B76" s="54"/>
      <c r="C76" s="55">
        <f>C71+C72+C73+C74+C75</f>
        <v>562.8900000000001</v>
      </c>
      <c r="D76" s="56">
        <f>D71+D72+D73+D74+D75</f>
        <v>562.88921715858748</v>
      </c>
      <c r="E76" s="57">
        <f t="shared" si="32"/>
        <v>7.8284141261519835E-4</v>
      </c>
      <c r="F76" s="55">
        <f>F71+F72+F73+F74+F75</f>
        <v>401.71999999999997</v>
      </c>
      <c r="G76" s="56">
        <f>G71+G72+G73+G74+G75</f>
        <v>401.71603357502386</v>
      </c>
      <c r="H76" s="57">
        <f t="shared" si="33"/>
        <v>3.9664249761131032E-3</v>
      </c>
      <c r="I76" s="55">
        <f>I71+I72+I73+I74+I75</f>
        <v>104508</v>
      </c>
      <c r="J76" s="58">
        <f>J71+J72+J73+J74+J75</f>
        <v>104508</v>
      </c>
      <c r="K76" s="59">
        <f t="shared" si="34"/>
        <v>0</v>
      </c>
      <c r="L76" s="55">
        <f>L71+L72+L73+L74+L75</f>
        <v>112303</v>
      </c>
      <c r="M76" s="58">
        <f>M71+M72+M73+M74+M75</f>
        <v>112303</v>
      </c>
      <c r="N76" s="59">
        <f t="shared" si="35"/>
        <v>0</v>
      </c>
    </row>
    <row r="77" spans="1:14" s="77" customFormat="1" ht="14.5">
      <c r="A77" s="45"/>
      <c r="B77" s="46"/>
      <c r="C77" s="47"/>
      <c r="D77" s="75"/>
      <c r="E77" s="80"/>
      <c r="F77" s="47"/>
      <c r="G77" s="50"/>
      <c r="H77" s="80"/>
      <c r="I77" s="47"/>
      <c r="J77" s="76"/>
      <c r="K77" s="81"/>
      <c r="L77" s="47"/>
      <c r="M77" s="53"/>
      <c r="N77" s="81"/>
    </row>
    <row r="78" spans="1:14" s="84" customFormat="1">
      <c r="A78" s="82">
        <v>10</v>
      </c>
      <c r="B78" s="83" t="s">
        <v>17</v>
      </c>
      <c r="C78" s="47"/>
      <c r="D78" s="43"/>
      <c r="E78" s="60"/>
      <c r="F78" s="47"/>
      <c r="G78" s="43"/>
      <c r="H78" s="60"/>
      <c r="I78" s="47"/>
      <c r="J78" s="43"/>
      <c r="K78" s="61"/>
      <c r="L78" s="47"/>
      <c r="M78" s="43"/>
      <c r="N78" s="61"/>
    </row>
    <row r="79" spans="1:14" ht="14.5">
      <c r="A79" s="45"/>
      <c r="B79" s="46" t="s">
        <v>3</v>
      </c>
      <c r="C79" s="47">
        <v>4.7699999999999996</v>
      </c>
      <c r="D79" s="48">
        <v>4.7733895420000003</v>
      </c>
      <c r="E79" s="49">
        <f>C79-D79</f>
        <v>-3.3895420000007448E-3</v>
      </c>
      <c r="F79" s="47">
        <v>4.78</v>
      </c>
      <c r="G79" s="50">
        <v>4.7809544640000006</v>
      </c>
      <c r="H79" s="49">
        <f>F79-G79</f>
        <v>-9.5446400000032128E-4</v>
      </c>
      <c r="I79" s="47">
        <v>912</v>
      </c>
      <c r="J79" s="51">
        <v>912</v>
      </c>
      <c r="K79" s="52">
        <f>I79-J79</f>
        <v>0</v>
      </c>
      <c r="L79" s="47">
        <v>611</v>
      </c>
      <c r="M79" s="53">
        <v>611</v>
      </c>
      <c r="N79" s="52">
        <f>L79-M79</f>
        <v>0</v>
      </c>
    </row>
    <row r="80" spans="1:14" ht="14.5">
      <c r="A80" s="45"/>
      <c r="B80" s="46" t="s">
        <v>4</v>
      </c>
      <c r="C80" s="47">
        <v>70.06</v>
      </c>
      <c r="D80" s="48">
        <v>70.061342417000006</v>
      </c>
      <c r="E80" s="49">
        <f t="shared" ref="E80:E84" si="36">C80-D80</f>
        <v>-1.3424170000035929E-3</v>
      </c>
      <c r="F80" s="47">
        <v>121.12</v>
      </c>
      <c r="G80" s="62">
        <v>121.12481629899997</v>
      </c>
      <c r="H80" s="49">
        <f t="shared" ref="H80:H84" si="37">F80-G80</f>
        <v>-4.8162989999696038E-3</v>
      </c>
      <c r="I80" s="47">
        <v>19987</v>
      </c>
      <c r="J80" s="51">
        <v>19987</v>
      </c>
      <c r="K80" s="52">
        <f t="shared" ref="K80:K84" si="38">I80-J80</f>
        <v>0</v>
      </c>
      <c r="L80" s="47">
        <v>42313</v>
      </c>
      <c r="M80" s="63">
        <v>42313</v>
      </c>
      <c r="N80" s="52">
        <f t="shared" ref="N80:N84" si="39">L80-M80</f>
        <v>0</v>
      </c>
    </row>
    <row r="81" spans="1:14" ht="14.5">
      <c r="A81" s="45"/>
      <c r="B81" s="46" t="s">
        <v>5</v>
      </c>
      <c r="C81" s="47">
        <v>12.41</v>
      </c>
      <c r="D81" s="48">
        <v>12.408772627463257</v>
      </c>
      <c r="E81" s="49">
        <f t="shared" si="36"/>
        <v>1.2273725367428767E-3</v>
      </c>
      <c r="F81" s="47">
        <v>29.59</v>
      </c>
      <c r="G81" s="50">
        <v>29.586573885000004</v>
      </c>
      <c r="H81" s="49">
        <f t="shared" si="37"/>
        <v>3.4261149999963436E-3</v>
      </c>
      <c r="I81" s="47">
        <v>4</v>
      </c>
      <c r="J81" s="51">
        <v>4</v>
      </c>
      <c r="K81" s="52">
        <f t="shared" si="38"/>
        <v>0</v>
      </c>
      <c r="L81" s="47">
        <v>12</v>
      </c>
      <c r="M81" s="53">
        <v>12</v>
      </c>
      <c r="N81" s="52">
        <f t="shared" si="39"/>
        <v>0</v>
      </c>
    </row>
    <row r="82" spans="1:14" ht="14.5">
      <c r="A82" s="45"/>
      <c r="B82" s="46" t="s">
        <v>6</v>
      </c>
      <c r="C82" s="47">
        <v>0</v>
      </c>
      <c r="D82" s="48">
        <v>119.25290899999999</v>
      </c>
      <c r="E82" s="49">
        <f t="shared" si="36"/>
        <v>-119.25290899999999</v>
      </c>
      <c r="F82" s="47">
        <v>0</v>
      </c>
      <c r="G82" s="50">
        <v>0</v>
      </c>
      <c r="H82" s="49">
        <f t="shared" si="37"/>
        <v>0</v>
      </c>
      <c r="I82" s="47">
        <v>0</v>
      </c>
      <c r="J82" s="51">
        <v>53</v>
      </c>
      <c r="K82" s="52">
        <f t="shared" si="38"/>
        <v>-53</v>
      </c>
      <c r="L82" s="47">
        <v>0</v>
      </c>
      <c r="M82" s="53">
        <v>0</v>
      </c>
      <c r="N82" s="52">
        <f t="shared" si="39"/>
        <v>0</v>
      </c>
    </row>
    <row r="83" spans="1:14" ht="14.5">
      <c r="A83" s="45"/>
      <c r="B83" s="46" t="s">
        <v>25</v>
      </c>
      <c r="C83" s="47">
        <v>119.25</v>
      </c>
      <c r="D83" s="48">
        <v>0</v>
      </c>
      <c r="E83" s="49">
        <f t="shared" si="36"/>
        <v>119.25</v>
      </c>
      <c r="F83" s="47">
        <v>154.76</v>
      </c>
      <c r="G83" s="50">
        <v>154.75764679399998</v>
      </c>
      <c r="H83" s="49">
        <f t="shared" si="37"/>
        <v>2.3532060000093225E-3</v>
      </c>
      <c r="I83" s="47">
        <v>53</v>
      </c>
      <c r="J83" s="51">
        <v>0</v>
      </c>
      <c r="K83" s="52">
        <f t="shared" si="38"/>
        <v>53</v>
      </c>
      <c r="L83" s="47">
        <v>47</v>
      </c>
      <c r="M83" s="53">
        <v>47</v>
      </c>
      <c r="N83" s="52">
        <f t="shared" si="39"/>
        <v>0</v>
      </c>
    </row>
    <row r="84" spans="1:14" s="40" customFormat="1">
      <c r="A84" s="41"/>
      <c r="B84" s="54"/>
      <c r="C84" s="55">
        <f>C79+C80+C81+C82+C83</f>
        <v>206.49</v>
      </c>
      <c r="D84" s="56">
        <f>D79+D80+D81+D82+D83</f>
        <v>206.49641358646326</v>
      </c>
      <c r="E84" s="57">
        <f t="shared" si="36"/>
        <v>-6.4135864632532957E-3</v>
      </c>
      <c r="F84" s="55">
        <f>F79+F80+F81+F82+F83</f>
        <v>310.25</v>
      </c>
      <c r="G84" s="56">
        <f>G79+G80+G81+G82+G83</f>
        <v>310.24999144199995</v>
      </c>
      <c r="H84" s="57">
        <f t="shared" si="37"/>
        <v>8.5580000472873508E-6</v>
      </c>
      <c r="I84" s="55">
        <f>I79+I80+I81+I82+I83</f>
        <v>20956</v>
      </c>
      <c r="J84" s="58">
        <f>J79+J80+J81+J82+J83</f>
        <v>20956</v>
      </c>
      <c r="K84" s="59">
        <f t="shared" si="38"/>
        <v>0</v>
      </c>
      <c r="L84" s="55">
        <f>L79+L80+L81+L82+L83</f>
        <v>42983</v>
      </c>
      <c r="M84" s="58">
        <f>M79+M80+M81+M82+M83</f>
        <v>42983</v>
      </c>
      <c r="N84" s="59">
        <f t="shared" si="39"/>
        <v>0</v>
      </c>
    </row>
    <row r="85" spans="1:14" ht="14.5">
      <c r="A85" s="45"/>
      <c r="B85" s="46"/>
      <c r="C85" s="47"/>
      <c r="D85" s="48"/>
      <c r="E85" s="49"/>
      <c r="F85" s="47"/>
      <c r="G85" s="50"/>
      <c r="H85" s="49"/>
      <c r="I85" s="47"/>
      <c r="J85" s="51"/>
      <c r="K85" s="52"/>
      <c r="L85" s="47"/>
      <c r="M85" s="53"/>
      <c r="N85" s="52"/>
    </row>
    <row r="86" spans="1:14" s="40" customFormat="1">
      <c r="A86" s="41">
        <v>11</v>
      </c>
      <c r="B86" s="42" t="s">
        <v>35</v>
      </c>
      <c r="C86" s="47"/>
      <c r="D86" s="43"/>
      <c r="E86" s="60"/>
      <c r="F86" s="47"/>
      <c r="G86" s="43"/>
      <c r="H86" s="60"/>
      <c r="I86" s="47"/>
      <c r="J86" s="43"/>
      <c r="K86" s="61"/>
      <c r="L86" s="47"/>
      <c r="M86" s="43"/>
      <c r="N86" s="61"/>
    </row>
    <row r="87" spans="1:14" ht="14.5">
      <c r="A87" s="45"/>
      <c r="B87" s="46" t="s">
        <v>3</v>
      </c>
      <c r="C87" s="47">
        <v>354.86</v>
      </c>
      <c r="D87" s="48">
        <v>354.86217454400003</v>
      </c>
      <c r="E87" s="49">
        <f>C87-D87</f>
        <v>-2.1745440000131566E-3</v>
      </c>
      <c r="F87" s="47">
        <v>460.55</v>
      </c>
      <c r="G87" s="50">
        <v>460.55016136099999</v>
      </c>
      <c r="H87" s="49">
        <f>F87-G87</f>
        <v>-1.6136099998220743E-4</v>
      </c>
      <c r="I87" s="47">
        <v>143084</v>
      </c>
      <c r="J87" s="51">
        <v>143084</v>
      </c>
      <c r="K87" s="52">
        <f>I87-J87</f>
        <v>0</v>
      </c>
      <c r="L87" s="47">
        <v>12880</v>
      </c>
      <c r="M87" s="53">
        <v>12880</v>
      </c>
      <c r="N87" s="52">
        <f>L87-M87</f>
        <v>0</v>
      </c>
    </row>
    <row r="88" spans="1:14" ht="14.5">
      <c r="A88" s="45"/>
      <c r="B88" s="46" t="s">
        <v>4</v>
      </c>
      <c r="C88" s="47">
        <v>1737.58</v>
      </c>
      <c r="D88" s="48">
        <v>1737.5802345660004</v>
      </c>
      <c r="E88" s="49">
        <f t="shared" ref="E88:E92" si="40">C88-D88</f>
        <v>-2.3456600047211396E-4</v>
      </c>
      <c r="F88" s="47">
        <v>2452.89</v>
      </c>
      <c r="G88" s="50">
        <v>2452.8906054909999</v>
      </c>
      <c r="H88" s="49">
        <f t="shared" ref="H88:H92" si="41">F88-G88</f>
        <v>-6.0549099998752354E-4</v>
      </c>
      <c r="I88" s="47">
        <v>447547</v>
      </c>
      <c r="J88" s="51">
        <v>447547</v>
      </c>
      <c r="K88" s="52">
        <f t="shared" ref="K88:K92" si="42">I88-J88</f>
        <v>0</v>
      </c>
      <c r="L88" s="47">
        <v>580030</v>
      </c>
      <c r="M88" s="53">
        <v>580030</v>
      </c>
      <c r="N88" s="52">
        <f t="shared" ref="N88:N92" si="43">L88-M88</f>
        <v>0</v>
      </c>
    </row>
    <row r="89" spans="1:14" ht="14.5">
      <c r="A89" s="45"/>
      <c r="B89" s="46" t="s">
        <v>5</v>
      </c>
      <c r="C89" s="47">
        <v>2497.3000000000002</v>
      </c>
      <c r="D89" s="48">
        <v>2591.0174751081272</v>
      </c>
      <c r="E89" s="49">
        <f t="shared" si="40"/>
        <v>-93.717475108127019</v>
      </c>
      <c r="F89" s="47">
        <v>3108.84</v>
      </c>
      <c r="G89" s="50">
        <v>3108.8398551835044</v>
      </c>
      <c r="H89" s="49">
        <f t="shared" si="41"/>
        <v>1.4481649577646749E-4</v>
      </c>
      <c r="I89" s="47">
        <v>65</v>
      </c>
      <c r="J89" s="51">
        <v>454</v>
      </c>
      <c r="K89" s="52">
        <f t="shared" si="42"/>
        <v>-389</v>
      </c>
      <c r="L89" s="47">
        <v>115</v>
      </c>
      <c r="M89" s="53">
        <v>115</v>
      </c>
      <c r="N89" s="52">
        <f t="shared" si="43"/>
        <v>0</v>
      </c>
    </row>
    <row r="90" spans="1:14" ht="14.5">
      <c r="A90" s="45"/>
      <c r="B90" s="46" t="s">
        <v>6</v>
      </c>
      <c r="C90" s="47">
        <v>0</v>
      </c>
      <c r="D90" s="48">
        <v>0</v>
      </c>
      <c r="E90" s="49">
        <f t="shared" si="40"/>
        <v>0</v>
      </c>
      <c r="F90" s="47">
        <v>0</v>
      </c>
      <c r="G90" s="62">
        <v>0</v>
      </c>
      <c r="H90" s="49">
        <f t="shared" si="41"/>
        <v>0</v>
      </c>
      <c r="I90" s="47">
        <v>0</v>
      </c>
      <c r="J90" s="51">
        <v>0</v>
      </c>
      <c r="K90" s="52">
        <f t="shared" si="42"/>
        <v>0</v>
      </c>
      <c r="L90" s="47">
        <v>0</v>
      </c>
      <c r="M90" s="63">
        <v>0</v>
      </c>
      <c r="N90" s="52">
        <f t="shared" si="43"/>
        <v>0</v>
      </c>
    </row>
    <row r="91" spans="1:14" ht="14.5">
      <c r="A91" s="45"/>
      <c r="B91" s="46" t="s">
        <v>25</v>
      </c>
      <c r="C91" s="47">
        <v>43.13</v>
      </c>
      <c r="D91" s="48">
        <v>0</v>
      </c>
      <c r="E91" s="49">
        <f t="shared" si="40"/>
        <v>43.13</v>
      </c>
      <c r="F91" s="47">
        <v>66.08</v>
      </c>
      <c r="G91" s="68">
        <v>66.08233399300056</v>
      </c>
      <c r="H91" s="49">
        <f t="shared" si="41"/>
        <v>-2.3339930005619181E-3</v>
      </c>
      <c r="I91" s="47">
        <v>148</v>
      </c>
      <c r="J91" s="51">
        <v>0</v>
      </c>
      <c r="K91" s="52">
        <f t="shared" si="42"/>
        <v>148</v>
      </c>
      <c r="L91" s="47">
        <v>242</v>
      </c>
      <c r="M91" s="69">
        <v>242</v>
      </c>
      <c r="N91" s="52">
        <f t="shared" si="43"/>
        <v>0</v>
      </c>
    </row>
    <row r="92" spans="1:14" s="40" customFormat="1">
      <c r="A92" s="41"/>
      <c r="B92" s="54"/>
      <c r="C92" s="55">
        <f>C87+C88+C89+C90+C91</f>
        <v>4632.87</v>
      </c>
      <c r="D92" s="56">
        <f>D87+D88+D89+D90+D91</f>
        <v>4683.4598842181276</v>
      </c>
      <c r="E92" s="57">
        <f t="shared" si="40"/>
        <v>-50.589884218127736</v>
      </c>
      <c r="F92" s="55">
        <f>F87+F88+F89+F90+F91</f>
        <v>6088.3600000000006</v>
      </c>
      <c r="G92" s="56">
        <f>G87+G88+G89+G90+G91</f>
        <v>6088.3629560285044</v>
      </c>
      <c r="H92" s="57">
        <f t="shared" si="41"/>
        <v>-2.956028503831476E-3</v>
      </c>
      <c r="I92" s="55">
        <f>I87+I88+I89+I90+I91</f>
        <v>590844</v>
      </c>
      <c r="J92" s="58">
        <f>J87+J88+J89+J90+J91</f>
        <v>591085</v>
      </c>
      <c r="K92" s="59">
        <f t="shared" si="42"/>
        <v>-241</v>
      </c>
      <c r="L92" s="55">
        <f>L87+L88+L89+L90+L91</f>
        <v>593267</v>
      </c>
      <c r="M92" s="58">
        <f>M87+M88+M89+M90+M91</f>
        <v>593267</v>
      </c>
      <c r="N92" s="59">
        <f t="shared" si="43"/>
        <v>0</v>
      </c>
    </row>
    <row r="93" spans="1:14" ht="14.5">
      <c r="A93" s="45"/>
      <c r="B93" s="46"/>
      <c r="C93" s="47"/>
      <c r="D93" s="48"/>
      <c r="E93" s="49"/>
      <c r="F93" s="47"/>
      <c r="G93" s="68"/>
      <c r="H93" s="49"/>
      <c r="I93" s="47"/>
      <c r="J93" s="51"/>
      <c r="K93" s="52"/>
      <c r="L93" s="47"/>
      <c r="M93" s="69"/>
      <c r="N93" s="52"/>
    </row>
    <row r="94" spans="1:14" s="40" customFormat="1">
      <c r="A94" s="41">
        <v>12</v>
      </c>
      <c r="B94" s="42" t="s">
        <v>36</v>
      </c>
      <c r="C94" s="47"/>
      <c r="D94" s="43"/>
      <c r="E94" s="60"/>
      <c r="F94" s="47"/>
      <c r="G94" s="43"/>
      <c r="H94" s="60"/>
      <c r="I94" s="47"/>
      <c r="J94" s="43"/>
      <c r="K94" s="61"/>
      <c r="L94" s="47"/>
      <c r="M94" s="43"/>
      <c r="N94" s="61"/>
    </row>
    <row r="95" spans="1:14" ht="14.5">
      <c r="A95" s="45"/>
      <c r="B95" s="46" t="s">
        <v>3</v>
      </c>
      <c r="C95" s="47">
        <v>384.13</v>
      </c>
      <c r="D95" s="64">
        <v>384.12598602500003</v>
      </c>
      <c r="E95" s="49">
        <f>C95-D95</f>
        <v>4.0139749999639207E-3</v>
      </c>
      <c r="F95" s="47">
        <v>573.04999999999995</v>
      </c>
      <c r="G95" s="50">
        <v>573.0538607200001</v>
      </c>
      <c r="H95" s="49">
        <f>F95-G95</f>
        <v>-3.8607200001479214E-3</v>
      </c>
      <c r="I95" s="47">
        <v>21858</v>
      </c>
      <c r="J95" s="65">
        <v>21858</v>
      </c>
      <c r="K95" s="52">
        <f>I95-J95</f>
        <v>0</v>
      </c>
      <c r="L95" s="47">
        <v>27331</v>
      </c>
      <c r="M95" s="53">
        <v>27331</v>
      </c>
      <c r="N95" s="52">
        <f>L95-M95</f>
        <v>0</v>
      </c>
    </row>
    <row r="96" spans="1:14" ht="14.5">
      <c r="A96" s="45"/>
      <c r="B96" s="46" t="s">
        <v>4</v>
      </c>
      <c r="C96" s="47">
        <v>3497.99</v>
      </c>
      <c r="D96" s="64">
        <v>3497.9884767220001</v>
      </c>
      <c r="E96" s="49">
        <f t="shared" ref="E96:E100" si="44">C96-D96</f>
        <v>1.523277999694983E-3</v>
      </c>
      <c r="F96" s="47">
        <v>4621.8999999999996</v>
      </c>
      <c r="G96" s="68">
        <v>4621.9000924100001</v>
      </c>
      <c r="H96" s="49">
        <f t="shared" ref="H96:H100" si="45">F96-G96</f>
        <v>-9.2410000434028916E-5</v>
      </c>
      <c r="I96" s="47">
        <v>383302</v>
      </c>
      <c r="J96" s="65">
        <v>383302</v>
      </c>
      <c r="K96" s="52">
        <f t="shared" ref="K96:K100" si="46">I96-J96</f>
        <v>0</v>
      </c>
      <c r="L96" s="47">
        <v>489781</v>
      </c>
      <c r="M96" s="69">
        <v>489781</v>
      </c>
      <c r="N96" s="52">
        <f t="shared" ref="N96:N100" si="47">L96-M96</f>
        <v>0</v>
      </c>
    </row>
    <row r="97" spans="1:14" ht="14.5">
      <c r="A97" s="45"/>
      <c r="B97" s="46" t="s">
        <v>5</v>
      </c>
      <c r="C97" s="47">
        <v>81.27</v>
      </c>
      <c r="D97" s="48">
        <v>593.17569314900004</v>
      </c>
      <c r="E97" s="49">
        <f t="shared" si="44"/>
        <v>-511.90569314900006</v>
      </c>
      <c r="F97" s="47">
        <v>99.4</v>
      </c>
      <c r="G97" s="68">
        <v>99.4038319</v>
      </c>
      <c r="H97" s="49">
        <f t="shared" si="45"/>
        <v>-3.8318999999944481E-3</v>
      </c>
      <c r="I97" s="47">
        <v>72</v>
      </c>
      <c r="J97" s="51">
        <v>476</v>
      </c>
      <c r="K97" s="52">
        <f t="shared" si="46"/>
        <v>-404</v>
      </c>
      <c r="L97" s="47">
        <v>28</v>
      </c>
      <c r="M97" s="69">
        <v>28</v>
      </c>
      <c r="N97" s="52">
        <f t="shared" si="47"/>
        <v>0</v>
      </c>
    </row>
    <row r="98" spans="1:14" ht="14.5">
      <c r="A98" s="45"/>
      <c r="B98" s="46" t="s">
        <v>6</v>
      </c>
      <c r="C98" s="47">
        <v>0</v>
      </c>
      <c r="D98" s="48">
        <v>0</v>
      </c>
      <c r="E98" s="49">
        <f t="shared" si="44"/>
        <v>0</v>
      </c>
      <c r="F98" s="47">
        <v>0</v>
      </c>
      <c r="G98" s="68">
        <v>0</v>
      </c>
      <c r="H98" s="49">
        <f t="shared" si="45"/>
        <v>0</v>
      </c>
      <c r="I98" s="47">
        <v>0</v>
      </c>
      <c r="J98" s="51">
        <v>0</v>
      </c>
      <c r="K98" s="52">
        <f t="shared" si="46"/>
        <v>0</v>
      </c>
      <c r="L98" s="47">
        <v>0</v>
      </c>
      <c r="M98" s="69">
        <v>0</v>
      </c>
      <c r="N98" s="52">
        <f t="shared" si="47"/>
        <v>0</v>
      </c>
    </row>
    <row r="99" spans="1:14" ht="14.5">
      <c r="A99" s="45"/>
      <c r="B99" s="46" t="s">
        <v>25</v>
      </c>
      <c r="C99" s="47">
        <v>452.99</v>
      </c>
      <c r="D99" s="48">
        <v>0</v>
      </c>
      <c r="E99" s="49">
        <f t="shared" si="44"/>
        <v>452.99</v>
      </c>
      <c r="F99" s="47">
        <v>403.12</v>
      </c>
      <c r="G99" s="68">
        <v>403.11610801999996</v>
      </c>
      <c r="H99" s="49">
        <f t="shared" si="45"/>
        <v>3.8919800000485338E-3</v>
      </c>
      <c r="I99" s="47">
        <v>268</v>
      </c>
      <c r="J99" s="51">
        <v>0</v>
      </c>
      <c r="K99" s="52">
        <f t="shared" si="46"/>
        <v>268</v>
      </c>
      <c r="L99" s="47">
        <v>248</v>
      </c>
      <c r="M99" s="69">
        <v>248</v>
      </c>
      <c r="N99" s="52">
        <f t="shared" si="47"/>
        <v>0</v>
      </c>
    </row>
    <row r="100" spans="1:14" s="40" customFormat="1">
      <c r="A100" s="41"/>
      <c r="B100" s="54"/>
      <c r="C100" s="55">
        <f>C95+C96+C97+C98+C99</f>
        <v>4416.38</v>
      </c>
      <c r="D100" s="56">
        <f>D95+D96+D97+D98+D99</f>
        <v>4475.2901558960002</v>
      </c>
      <c r="E100" s="57">
        <f t="shared" si="44"/>
        <v>-58.910155896000106</v>
      </c>
      <c r="F100" s="55">
        <f>F95+F96+F97+F98+F99</f>
        <v>5697.4699999999993</v>
      </c>
      <c r="G100" s="56">
        <f>G95+G96+G97+G98+G99</f>
        <v>5697.4738930499998</v>
      </c>
      <c r="H100" s="57">
        <f t="shared" si="45"/>
        <v>-3.8930500004425994E-3</v>
      </c>
      <c r="I100" s="55">
        <f>I95+I96+I97+I98+I99</f>
        <v>405500</v>
      </c>
      <c r="J100" s="58">
        <f>J95+J96+J97+J98+J99</f>
        <v>405636</v>
      </c>
      <c r="K100" s="59">
        <f t="shared" si="46"/>
        <v>-136</v>
      </c>
      <c r="L100" s="55">
        <f>L95+L96+L97+L98+L99</f>
        <v>517388</v>
      </c>
      <c r="M100" s="58">
        <f>M95+M96+M97+M98+M99</f>
        <v>517388</v>
      </c>
      <c r="N100" s="59">
        <f t="shared" si="47"/>
        <v>0</v>
      </c>
    </row>
    <row r="101" spans="1:14" ht="14.5">
      <c r="A101" s="45"/>
      <c r="B101" s="46"/>
      <c r="C101" s="47"/>
      <c r="D101" s="48"/>
      <c r="E101" s="49"/>
      <c r="F101" s="47"/>
      <c r="G101" s="68"/>
      <c r="H101" s="49"/>
      <c r="I101" s="47"/>
      <c r="J101" s="51"/>
      <c r="K101" s="52"/>
      <c r="L101" s="47"/>
      <c r="M101" s="69"/>
      <c r="N101" s="52"/>
    </row>
    <row r="102" spans="1:14" s="40" customFormat="1">
      <c r="A102" s="41">
        <v>13</v>
      </c>
      <c r="B102" s="42" t="s">
        <v>37</v>
      </c>
      <c r="C102" s="47"/>
      <c r="D102" s="43"/>
      <c r="E102" s="60"/>
      <c r="F102" s="47"/>
      <c r="G102" s="43"/>
      <c r="H102" s="60"/>
      <c r="I102" s="47"/>
      <c r="J102" s="43"/>
      <c r="K102" s="61"/>
      <c r="L102" s="47"/>
      <c r="M102" s="43"/>
      <c r="N102" s="61"/>
    </row>
    <row r="103" spans="1:14" s="77" customFormat="1" ht="14.5">
      <c r="A103" s="45"/>
      <c r="B103" s="46" t="s">
        <v>3</v>
      </c>
      <c r="C103" s="47">
        <v>100.33</v>
      </c>
      <c r="D103" s="48">
        <v>100.32954607400001</v>
      </c>
      <c r="E103" s="49">
        <f>C103-D103</f>
        <v>4.5392599999161121E-4</v>
      </c>
      <c r="F103" s="47">
        <v>185.23</v>
      </c>
      <c r="G103" s="50">
        <v>185.22701860000004</v>
      </c>
      <c r="H103" s="49">
        <f>F103-G103</f>
        <v>2.9813999999532825E-3</v>
      </c>
      <c r="I103" s="47">
        <v>6119</v>
      </c>
      <c r="J103" s="51">
        <v>6119</v>
      </c>
      <c r="K103" s="52">
        <f>I103-J103</f>
        <v>0</v>
      </c>
      <c r="L103" s="47">
        <v>8812</v>
      </c>
      <c r="M103" s="53">
        <v>8812</v>
      </c>
      <c r="N103" s="52">
        <f>L103-M103</f>
        <v>0</v>
      </c>
    </row>
    <row r="104" spans="1:14" ht="14.5">
      <c r="A104" s="45"/>
      <c r="B104" s="46" t="s">
        <v>4</v>
      </c>
      <c r="C104" s="47">
        <v>187.22</v>
      </c>
      <c r="D104" s="48">
        <v>187.220644953</v>
      </c>
      <c r="E104" s="49">
        <f t="shared" ref="E104:E108" si="48">C104-D104</f>
        <v>-6.4495300000544376E-4</v>
      </c>
      <c r="F104" s="47">
        <v>238.99</v>
      </c>
      <c r="G104" s="50">
        <v>238.99207381299999</v>
      </c>
      <c r="H104" s="49">
        <f t="shared" ref="H104:H108" si="49">F104-G104</f>
        <v>-2.0738129999813282E-3</v>
      </c>
      <c r="I104" s="47">
        <v>56017</v>
      </c>
      <c r="J104" s="51">
        <v>56017</v>
      </c>
      <c r="K104" s="52">
        <f t="shared" ref="K104:K108" si="50">I104-J104</f>
        <v>0</v>
      </c>
      <c r="L104" s="47">
        <v>59396</v>
      </c>
      <c r="M104" s="53">
        <v>59396</v>
      </c>
      <c r="N104" s="52">
        <f t="shared" ref="N104:N108" si="51">L104-M104</f>
        <v>0</v>
      </c>
    </row>
    <row r="105" spans="1:14" ht="14.5">
      <c r="A105" s="45"/>
      <c r="B105" s="46" t="s">
        <v>5</v>
      </c>
      <c r="C105" s="47">
        <v>105.05</v>
      </c>
      <c r="D105" s="48">
        <v>105.049770604</v>
      </c>
      <c r="E105" s="49">
        <f t="shared" si="48"/>
        <v>2.2939599999460825E-4</v>
      </c>
      <c r="F105" s="47">
        <v>56.2</v>
      </c>
      <c r="G105" s="50">
        <v>56.199980695000015</v>
      </c>
      <c r="H105" s="49">
        <f t="shared" si="49"/>
        <v>1.9304999987923566E-5</v>
      </c>
      <c r="I105" s="47">
        <v>40</v>
      </c>
      <c r="J105" s="51">
        <v>40</v>
      </c>
      <c r="K105" s="52">
        <f t="shared" si="50"/>
        <v>0</v>
      </c>
      <c r="L105" s="47">
        <v>15</v>
      </c>
      <c r="M105" s="53">
        <v>15</v>
      </c>
      <c r="N105" s="52">
        <f t="shared" si="51"/>
        <v>0</v>
      </c>
    </row>
    <row r="106" spans="1:14" ht="14.5">
      <c r="A106" s="45"/>
      <c r="B106" s="46" t="s">
        <v>6</v>
      </c>
      <c r="C106" s="47">
        <v>2.52</v>
      </c>
      <c r="D106" s="72">
        <v>2.5174278702499997</v>
      </c>
      <c r="E106" s="49">
        <f t="shared" si="48"/>
        <v>2.5721297500003182E-3</v>
      </c>
      <c r="F106" s="47">
        <v>0.71</v>
      </c>
      <c r="G106" s="50">
        <v>0.71089040580001395</v>
      </c>
      <c r="H106" s="49">
        <f t="shared" si="49"/>
        <v>-8.9040580001398251E-4</v>
      </c>
      <c r="I106" s="47">
        <v>0</v>
      </c>
      <c r="J106" s="73">
        <v>0</v>
      </c>
      <c r="K106" s="52">
        <f t="shared" si="50"/>
        <v>0</v>
      </c>
      <c r="L106" s="47">
        <v>0</v>
      </c>
      <c r="M106" s="53">
        <v>0</v>
      </c>
      <c r="N106" s="52">
        <f t="shared" si="51"/>
        <v>0</v>
      </c>
    </row>
    <row r="107" spans="1:14" ht="14.5">
      <c r="A107" s="45"/>
      <c r="B107" s="46" t="s">
        <v>25</v>
      </c>
      <c r="C107" s="47">
        <v>0</v>
      </c>
      <c r="D107" s="72">
        <v>0</v>
      </c>
      <c r="E107" s="49">
        <f t="shared" si="48"/>
        <v>0</v>
      </c>
      <c r="F107" s="47">
        <v>0</v>
      </c>
      <c r="G107" s="50">
        <v>0</v>
      </c>
      <c r="H107" s="49">
        <f t="shared" si="49"/>
        <v>0</v>
      </c>
      <c r="I107" s="47">
        <v>0</v>
      </c>
      <c r="J107" s="73">
        <v>0</v>
      </c>
      <c r="K107" s="52">
        <f t="shared" si="50"/>
        <v>0</v>
      </c>
      <c r="L107" s="47">
        <v>0</v>
      </c>
      <c r="M107" s="53">
        <v>0</v>
      </c>
      <c r="N107" s="52">
        <f t="shared" si="51"/>
        <v>0</v>
      </c>
    </row>
    <row r="108" spans="1:14" s="40" customFormat="1">
      <c r="A108" s="41"/>
      <c r="B108" s="54"/>
      <c r="C108" s="55">
        <f>C103+C104+C105+C106+C107</f>
        <v>395.12</v>
      </c>
      <c r="D108" s="56">
        <f>D103+D104+D105+D106+D107</f>
        <v>395.11738950124999</v>
      </c>
      <c r="E108" s="57">
        <f t="shared" si="48"/>
        <v>2.6104987500161769E-3</v>
      </c>
      <c r="F108" s="55">
        <f>F103+F104+F105+F106+F107</f>
        <v>481.13</v>
      </c>
      <c r="G108" s="56">
        <f>G103+G104+G105+G106+G107</f>
        <v>481.12996351380002</v>
      </c>
      <c r="H108" s="57">
        <f t="shared" si="49"/>
        <v>3.6486199974206102E-5</v>
      </c>
      <c r="I108" s="55">
        <f>I103+I104+I105+I106+I107</f>
        <v>62176</v>
      </c>
      <c r="J108" s="58">
        <f>J103+J104+J105+J106+J107</f>
        <v>62176</v>
      </c>
      <c r="K108" s="59">
        <f t="shared" si="50"/>
        <v>0</v>
      </c>
      <c r="L108" s="55">
        <f>L103+L104+L105+L106+L107</f>
        <v>68223</v>
      </c>
      <c r="M108" s="58">
        <f>M103+M104+M105+M106+M107</f>
        <v>68223</v>
      </c>
      <c r="N108" s="59">
        <f t="shared" si="51"/>
        <v>0</v>
      </c>
    </row>
    <row r="109" spans="1:14" ht="14.5">
      <c r="A109" s="45"/>
      <c r="B109" s="46"/>
      <c r="C109" s="47"/>
      <c r="D109" s="72"/>
      <c r="E109" s="85"/>
      <c r="F109" s="47"/>
      <c r="G109" s="50"/>
      <c r="H109" s="85"/>
      <c r="I109" s="47"/>
      <c r="J109" s="73"/>
      <c r="K109" s="86"/>
      <c r="L109" s="47"/>
      <c r="M109" s="53"/>
      <c r="N109" s="86"/>
    </row>
    <row r="110" spans="1:14" s="40" customFormat="1">
      <c r="A110" s="41">
        <v>14</v>
      </c>
      <c r="B110" s="42" t="s">
        <v>38</v>
      </c>
      <c r="C110" s="47"/>
      <c r="D110" s="43"/>
      <c r="E110" s="60"/>
      <c r="F110" s="47"/>
      <c r="G110" s="43"/>
      <c r="H110" s="60"/>
      <c r="I110" s="47"/>
      <c r="J110" s="43"/>
      <c r="K110" s="61"/>
      <c r="L110" s="47"/>
      <c r="M110" s="43"/>
      <c r="N110" s="61"/>
    </row>
    <row r="111" spans="1:14" ht="14.5">
      <c r="A111" s="45"/>
      <c r="B111" s="46" t="s">
        <v>3</v>
      </c>
      <c r="C111" s="47">
        <v>7.03</v>
      </c>
      <c r="D111" s="48">
        <v>7.0273832999999994</v>
      </c>
      <c r="E111" s="49">
        <f>C111-D111</f>
        <v>2.6167000000008045E-3</v>
      </c>
      <c r="F111" s="47">
        <v>15.36</v>
      </c>
      <c r="G111" s="50">
        <v>15.358291199999998</v>
      </c>
      <c r="H111" s="49">
        <f>F111-G111</f>
        <v>1.708800000001176E-3</v>
      </c>
      <c r="I111" s="47">
        <v>281</v>
      </c>
      <c r="J111" s="51">
        <v>281</v>
      </c>
      <c r="K111" s="52">
        <f>I111-J111</f>
        <v>0</v>
      </c>
      <c r="L111" s="47">
        <v>2707</v>
      </c>
      <c r="M111" s="53">
        <v>2707</v>
      </c>
      <c r="N111" s="52">
        <f>L111-M111</f>
        <v>0</v>
      </c>
    </row>
    <row r="112" spans="1:14" ht="14.5">
      <c r="A112" s="45"/>
      <c r="B112" s="46" t="s">
        <v>4</v>
      </c>
      <c r="C112" s="47">
        <v>169.38</v>
      </c>
      <c r="D112" s="48">
        <v>169.37747939999997</v>
      </c>
      <c r="E112" s="49">
        <f t="shared" ref="E112:E116" si="52">C112-D112</f>
        <v>2.520600000025297E-3</v>
      </c>
      <c r="F112" s="47">
        <v>313.99</v>
      </c>
      <c r="G112" s="62">
        <v>313.99123909999997</v>
      </c>
      <c r="H112" s="49">
        <f t="shared" ref="H112:H116" si="53">F112-G112</f>
        <v>-1.2390999999638552E-3</v>
      </c>
      <c r="I112" s="47">
        <v>63939</v>
      </c>
      <c r="J112" s="51">
        <v>63939</v>
      </c>
      <c r="K112" s="52">
        <f t="shared" ref="K112:K116" si="54">I112-J112</f>
        <v>0</v>
      </c>
      <c r="L112" s="47">
        <v>86393</v>
      </c>
      <c r="M112" s="63">
        <v>86393</v>
      </c>
      <c r="N112" s="52">
        <f t="shared" ref="N112:N116" si="55">L112-M112</f>
        <v>0</v>
      </c>
    </row>
    <row r="113" spans="1:14" ht="14.5">
      <c r="A113" s="45"/>
      <c r="B113" s="46" t="s">
        <v>5</v>
      </c>
      <c r="C113" s="47">
        <v>830.24</v>
      </c>
      <c r="D113" s="48">
        <v>890.96426506599994</v>
      </c>
      <c r="E113" s="49">
        <f t="shared" si="52"/>
        <v>-60.72426506599993</v>
      </c>
      <c r="F113" s="47">
        <v>358.55</v>
      </c>
      <c r="G113" s="50">
        <v>358.55211075800565</v>
      </c>
      <c r="H113" s="49">
        <f t="shared" si="53"/>
        <v>-2.1107580056423103E-3</v>
      </c>
      <c r="I113" s="47">
        <v>28</v>
      </c>
      <c r="J113" s="51">
        <v>28</v>
      </c>
      <c r="K113" s="52">
        <f t="shared" si="54"/>
        <v>0</v>
      </c>
      <c r="L113" s="47">
        <v>55</v>
      </c>
      <c r="M113" s="53">
        <v>55</v>
      </c>
      <c r="N113" s="52">
        <f t="shared" si="55"/>
        <v>0</v>
      </c>
    </row>
    <row r="114" spans="1:14" ht="14.5">
      <c r="A114" s="45"/>
      <c r="B114" s="46" t="s">
        <v>6</v>
      </c>
      <c r="C114" s="47">
        <v>0</v>
      </c>
      <c r="D114" s="48">
        <v>0</v>
      </c>
      <c r="E114" s="49">
        <f t="shared" si="52"/>
        <v>0</v>
      </c>
      <c r="F114" s="47">
        <v>0</v>
      </c>
      <c r="G114" s="50">
        <v>0</v>
      </c>
      <c r="H114" s="49">
        <f t="shared" si="53"/>
        <v>0</v>
      </c>
      <c r="I114" s="47">
        <v>0</v>
      </c>
      <c r="J114" s="51">
        <v>0</v>
      </c>
      <c r="K114" s="52">
        <f t="shared" si="54"/>
        <v>0</v>
      </c>
      <c r="L114" s="47">
        <v>0</v>
      </c>
      <c r="M114" s="53">
        <v>0</v>
      </c>
      <c r="N114" s="52">
        <f t="shared" si="55"/>
        <v>0</v>
      </c>
    </row>
    <row r="115" spans="1:14" ht="14.5">
      <c r="A115" s="45"/>
      <c r="B115" s="46" t="s">
        <v>25</v>
      </c>
      <c r="C115" s="47">
        <v>7.28</v>
      </c>
      <c r="D115" s="48">
        <v>0</v>
      </c>
      <c r="E115" s="49">
        <f t="shared" si="52"/>
        <v>7.28</v>
      </c>
      <c r="F115" s="47">
        <v>0.61</v>
      </c>
      <c r="G115" s="50">
        <v>0.61152399999999996</v>
      </c>
      <c r="H115" s="49">
        <f t="shared" si="53"/>
        <v>-1.5239999999999698E-3</v>
      </c>
      <c r="I115" s="47">
        <v>0</v>
      </c>
      <c r="J115" s="51">
        <v>0</v>
      </c>
      <c r="K115" s="52">
        <f t="shared" si="54"/>
        <v>0</v>
      </c>
      <c r="L115" s="47">
        <v>0</v>
      </c>
      <c r="M115" s="53">
        <v>0</v>
      </c>
      <c r="N115" s="52">
        <f t="shared" si="55"/>
        <v>0</v>
      </c>
    </row>
    <row r="116" spans="1:14" s="40" customFormat="1">
      <c r="A116" s="41"/>
      <c r="B116" s="54"/>
      <c r="C116" s="55">
        <f>C111+C112+C113+C114+C115</f>
        <v>1013.93</v>
      </c>
      <c r="D116" s="56">
        <f>D111+D112+D113+D114+D115</f>
        <v>1067.369127766</v>
      </c>
      <c r="E116" s="57">
        <f t="shared" si="52"/>
        <v>-53.43912776600007</v>
      </c>
      <c r="F116" s="55">
        <f>F111+F112+F113+F114+F115</f>
        <v>688.5100000000001</v>
      </c>
      <c r="G116" s="56">
        <f>G111+G112+G113+G114+G115</f>
        <v>688.51316505800571</v>
      </c>
      <c r="H116" s="57">
        <f t="shared" si="53"/>
        <v>-3.1650580056066246E-3</v>
      </c>
      <c r="I116" s="55">
        <f>I111+I112+I113+I114+I115</f>
        <v>64248</v>
      </c>
      <c r="J116" s="58">
        <f>J111+J112+J113+J114+J115</f>
        <v>64248</v>
      </c>
      <c r="K116" s="59">
        <f t="shared" si="54"/>
        <v>0</v>
      </c>
      <c r="L116" s="55">
        <f>L111+L112+L113+L114+L115</f>
        <v>89155</v>
      </c>
      <c r="M116" s="58">
        <f>M111+M112+M113+M114+M115</f>
        <v>89155</v>
      </c>
      <c r="N116" s="59">
        <f t="shared" si="55"/>
        <v>0</v>
      </c>
    </row>
    <row r="117" spans="1:14" ht="14.5">
      <c r="A117" s="45"/>
      <c r="B117" s="46"/>
      <c r="C117" s="47"/>
      <c r="D117" s="48"/>
      <c r="E117" s="49"/>
      <c r="F117" s="47"/>
      <c r="G117" s="50"/>
      <c r="H117" s="49"/>
      <c r="I117" s="47"/>
      <c r="J117" s="51"/>
      <c r="K117" s="52"/>
      <c r="L117" s="47"/>
      <c r="M117" s="53"/>
      <c r="N117" s="52"/>
    </row>
    <row r="118" spans="1:14" s="40" customFormat="1">
      <c r="A118" s="41">
        <v>15</v>
      </c>
      <c r="B118" s="42" t="s">
        <v>39</v>
      </c>
      <c r="C118" s="47"/>
      <c r="D118" s="43"/>
      <c r="E118" s="60"/>
      <c r="F118" s="47"/>
      <c r="G118" s="43"/>
      <c r="H118" s="60"/>
      <c r="I118" s="47"/>
      <c r="J118" s="43"/>
      <c r="K118" s="61"/>
      <c r="L118" s="47"/>
      <c r="M118" s="43"/>
      <c r="N118" s="61"/>
    </row>
    <row r="119" spans="1:14" ht="14.5">
      <c r="A119" s="45"/>
      <c r="B119" s="46" t="s">
        <v>3</v>
      </c>
      <c r="C119" s="47">
        <v>87.47</v>
      </c>
      <c r="D119" s="48">
        <v>87.469529199999997</v>
      </c>
      <c r="E119" s="49">
        <f>C119-D119</f>
        <v>4.7080000000221389E-4</v>
      </c>
      <c r="F119" s="47">
        <v>164.47</v>
      </c>
      <c r="G119" s="50">
        <v>164.46785739999999</v>
      </c>
      <c r="H119" s="49">
        <f>F119-G119</f>
        <v>2.1426000000133172E-3</v>
      </c>
      <c r="I119" s="47">
        <v>17412</v>
      </c>
      <c r="J119" s="51">
        <v>17412</v>
      </c>
      <c r="K119" s="52">
        <f>I119-J119</f>
        <v>0</v>
      </c>
      <c r="L119" s="47">
        <v>29859</v>
      </c>
      <c r="M119" s="53">
        <v>29859</v>
      </c>
      <c r="N119" s="52">
        <f>L119-M119</f>
        <v>0</v>
      </c>
    </row>
    <row r="120" spans="1:14" ht="14.5">
      <c r="A120" s="45"/>
      <c r="B120" s="46" t="s">
        <v>4</v>
      </c>
      <c r="C120" s="47">
        <v>484.28</v>
      </c>
      <c r="D120" s="48">
        <v>484.27659299999982</v>
      </c>
      <c r="E120" s="49">
        <f t="shared" ref="E120:E124" si="56">C120-D120</f>
        <v>3.4070000001520384E-3</v>
      </c>
      <c r="F120" s="47">
        <v>669.65</v>
      </c>
      <c r="G120" s="50">
        <v>669.65478569999311</v>
      </c>
      <c r="H120" s="49">
        <f t="shared" ref="H120:H124" si="57">F120-G120</f>
        <v>-4.7856999931354949E-3</v>
      </c>
      <c r="I120" s="47">
        <v>113088</v>
      </c>
      <c r="J120" s="51">
        <v>113085</v>
      </c>
      <c r="K120" s="52">
        <f t="shared" ref="K120:K124" si="58">I120-J120</f>
        <v>3</v>
      </c>
      <c r="L120" s="47">
        <v>133748</v>
      </c>
      <c r="M120" s="53">
        <v>133748</v>
      </c>
      <c r="N120" s="52">
        <f t="shared" ref="N120:N124" si="59">L120-M120</f>
        <v>0</v>
      </c>
    </row>
    <row r="121" spans="1:14" ht="14.5">
      <c r="A121" s="45"/>
      <c r="B121" s="46" t="s">
        <v>5</v>
      </c>
      <c r="C121" s="47">
        <v>377.17</v>
      </c>
      <c r="D121" s="48">
        <v>377.16567917417336</v>
      </c>
      <c r="E121" s="49">
        <f t="shared" si="56"/>
        <v>4.3208258266531629E-3</v>
      </c>
      <c r="F121" s="47">
        <v>389.95</v>
      </c>
      <c r="G121" s="50">
        <v>389.95129053200219</v>
      </c>
      <c r="H121" s="49">
        <f t="shared" si="57"/>
        <v>-1.2905320022014166E-3</v>
      </c>
      <c r="I121" s="47">
        <v>52</v>
      </c>
      <c r="J121" s="51">
        <v>52</v>
      </c>
      <c r="K121" s="52">
        <f t="shared" si="58"/>
        <v>0</v>
      </c>
      <c r="L121" s="47">
        <v>82</v>
      </c>
      <c r="M121" s="53">
        <v>82</v>
      </c>
      <c r="N121" s="52">
        <f t="shared" si="59"/>
        <v>0</v>
      </c>
    </row>
    <row r="122" spans="1:14" s="87" customFormat="1" ht="14.5">
      <c r="A122" s="45"/>
      <c r="B122" s="46" t="s">
        <v>6</v>
      </c>
      <c r="C122" s="47">
        <v>1.07</v>
      </c>
      <c r="D122" s="48">
        <v>482.00532321428182</v>
      </c>
      <c r="E122" s="49">
        <f t="shared" si="56"/>
        <v>-480.93532321428182</v>
      </c>
      <c r="F122" s="47">
        <v>13.23</v>
      </c>
      <c r="G122" s="62">
        <v>13.229677782999994</v>
      </c>
      <c r="H122" s="49">
        <f t="shared" si="57"/>
        <v>3.2221700000611975E-4</v>
      </c>
      <c r="I122" s="47">
        <v>22</v>
      </c>
      <c r="J122" s="51">
        <v>664</v>
      </c>
      <c r="K122" s="52">
        <f t="shared" si="58"/>
        <v>-642</v>
      </c>
      <c r="L122" s="47">
        <v>35</v>
      </c>
      <c r="M122" s="63">
        <v>35</v>
      </c>
      <c r="N122" s="52">
        <f t="shared" si="59"/>
        <v>0</v>
      </c>
    </row>
    <row r="123" spans="1:14" s="87" customFormat="1" ht="14.5">
      <c r="A123" s="45"/>
      <c r="B123" s="46" t="s">
        <v>25</v>
      </c>
      <c r="C123" s="47">
        <v>368.62</v>
      </c>
      <c r="D123" s="48">
        <v>0</v>
      </c>
      <c r="E123" s="49">
        <f t="shared" si="56"/>
        <v>368.62</v>
      </c>
      <c r="F123" s="47">
        <v>362.96</v>
      </c>
      <c r="G123" s="68">
        <v>362.956250399</v>
      </c>
      <c r="H123" s="49">
        <f t="shared" si="57"/>
        <v>3.7496009999813396E-3</v>
      </c>
      <c r="I123" s="47">
        <v>75</v>
      </c>
      <c r="J123" s="51">
        <v>0</v>
      </c>
      <c r="K123" s="52">
        <f t="shared" si="58"/>
        <v>75</v>
      </c>
      <c r="L123" s="47">
        <v>326</v>
      </c>
      <c r="M123" s="69">
        <v>326</v>
      </c>
      <c r="N123" s="52">
        <f t="shared" si="59"/>
        <v>0</v>
      </c>
    </row>
    <row r="124" spans="1:14" s="88" customFormat="1">
      <c r="A124" s="41"/>
      <c r="B124" s="54"/>
      <c r="C124" s="55">
        <f>C119+C120+C121+C122+C123</f>
        <v>1318.6100000000001</v>
      </c>
      <c r="D124" s="56">
        <f>D119+D120+D121+D122+D123</f>
        <v>1430.917124588455</v>
      </c>
      <c r="E124" s="57">
        <f t="shared" si="56"/>
        <v>-112.30712458845483</v>
      </c>
      <c r="F124" s="55">
        <f>F119+F120+F121+F122+F123</f>
        <v>1600.26</v>
      </c>
      <c r="G124" s="56">
        <f>G119+G120+G121+G122+G123</f>
        <v>1600.2598618139953</v>
      </c>
      <c r="H124" s="57">
        <f t="shared" si="57"/>
        <v>1.3818600473314291E-4</v>
      </c>
      <c r="I124" s="55">
        <f>I119+I120+I121+I122+I123</f>
        <v>130649</v>
      </c>
      <c r="J124" s="58">
        <f>J119+J120+J121+J122+J123</f>
        <v>131213</v>
      </c>
      <c r="K124" s="59">
        <f t="shared" si="58"/>
        <v>-564</v>
      </c>
      <c r="L124" s="55">
        <f>L119+L120+L121+L122+L123</f>
        <v>164050</v>
      </c>
      <c r="M124" s="58">
        <f>M119+M120+M121+M122+M123</f>
        <v>164050</v>
      </c>
      <c r="N124" s="59">
        <f t="shared" si="59"/>
        <v>0</v>
      </c>
    </row>
    <row r="125" spans="1:14" s="87" customFormat="1" ht="14.5">
      <c r="A125" s="45"/>
      <c r="B125" s="46"/>
      <c r="C125" s="47"/>
      <c r="D125" s="48"/>
      <c r="E125" s="49"/>
      <c r="F125" s="47"/>
      <c r="G125" s="68"/>
      <c r="H125" s="49"/>
      <c r="I125" s="47"/>
      <c r="J125" s="51"/>
      <c r="K125" s="52"/>
      <c r="L125" s="47"/>
      <c r="M125" s="69"/>
      <c r="N125" s="52"/>
    </row>
    <row r="126" spans="1:14" s="88" customFormat="1">
      <c r="A126" s="41">
        <v>16</v>
      </c>
      <c r="B126" s="42" t="s">
        <v>19</v>
      </c>
      <c r="C126" s="47"/>
      <c r="D126" s="43"/>
      <c r="E126" s="60"/>
      <c r="F126" s="47"/>
      <c r="G126" s="43"/>
      <c r="H126" s="60"/>
      <c r="I126" s="47"/>
      <c r="J126" s="43"/>
      <c r="K126" s="61"/>
      <c r="L126" s="47"/>
      <c r="M126" s="43"/>
      <c r="N126" s="61"/>
    </row>
    <row r="127" spans="1:14" s="87" customFormat="1" ht="14.5">
      <c r="A127" s="45"/>
      <c r="B127" s="46" t="s">
        <v>3</v>
      </c>
      <c r="C127" s="47">
        <v>401.07</v>
      </c>
      <c r="D127" s="48">
        <v>401.07473431499966</v>
      </c>
      <c r="E127" s="49">
        <f>C127-D127</f>
        <v>-4.7343149996663669E-3</v>
      </c>
      <c r="F127" s="47">
        <v>466.77</v>
      </c>
      <c r="G127" s="50">
        <v>466.76961128699821</v>
      </c>
      <c r="H127" s="49">
        <f>F127-G127</f>
        <v>3.8871300176879231E-4</v>
      </c>
      <c r="I127" s="47">
        <v>419</v>
      </c>
      <c r="J127" s="51">
        <v>419</v>
      </c>
      <c r="K127" s="52">
        <f>I127-J127</f>
        <v>0</v>
      </c>
      <c r="L127" s="47">
        <v>442</v>
      </c>
      <c r="M127" s="53">
        <v>442</v>
      </c>
      <c r="N127" s="52">
        <f>L127-M127</f>
        <v>0</v>
      </c>
    </row>
    <row r="128" spans="1:14" s="87" customFormat="1" ht="14.5">
      <c r="A128" s="45"/>
      <c r="B128" s="46" t="s">
        <v>4</v>
      </c>
      <c r="C128" s="47">
        <v>1243.06</v>
      </c>
      <c r="D128" s="48">
        <v>1243.0577952499998</v>
      </c>
      <c r="E128" s="49">
        <f t="shared" ref="E128:E132" si="60">C128-D128</f>
        <v>2.204750000146305E-3</v>
      </c>
      <c r="F128" s="47">
        <v>1474.65</v>
      </c>
      <c r="G128" s="50">
        <v>1474.6519825950018</v>
      </c>
      <c r="H128" s="49">
        <f t="shared" ref="H128:H132" si="61">F128-G128</f>
        <v>-1.9825950016638672E-3</v>
      </c>
      <c r="I128" s="47">
        <v>250104</v>
      </c>
      <c r="J128" s="51">
        <v>250104</v>
      </c>
      <c r="K128" s="52">
        <f t="shared" ref="K128:K132" si="62">I128-J128</f>
        <v>0</v>
      </c>
      <c r="L128" s="47">
        <v>291204</v>
      </c>
      <c r="M128" s="53">
        <v>291204</v>
      </c>
      <c r="N128" s="52">
        <f t="shared" ref="N128:N132" si="63">L128-M128</f>
        <v>0</v>
      </c>
    </row>
    <row r="129" spans="1:14" s="87" customFormat="1" ht="14.5">
      <c r="A129" s="45"/>
      <c r="B129" s="46" t="s">
        <v>5</v>
      </c>
      <c r="C129" s="47">
        <v>173.74</v>
      </c>
      <c r="D129" s="48">
        <v>173.74242021900002</v>
      </c>
      <c r="E129" s="49">
        <f t="shared" si="60"/>
        <v>-2.4202190000153223E-3</v>
      </c>
      <c r="F129" s="47">
        <v>175.8</v>
      </c>
      <c r="G129" s="50">
        <v>175.79761869199999</v>
      </c>
      <c r="H129" s="49">
        <f t="shared" si="61"/>
        <v>2.3813080000252285E-3</v>
      </c>
      <c r="I129" s="47">
        <v>33</v>
      </c>
      <c r="J129" s="51">
        <v>33</v>
      </c>
      <c r="K129" s="52">
        <f t="shared" si="62"/>
        <v>0</v>
      </c>
      <c r="L129" s="47">
        <v>45</v>
      </c>
      <c r="M129" s="53">
        <v>45</v>
      </c>
      <c r="N129" s="52">
        <f t="shared" si="63"/>
        <v>0</v>
      </c>
    </row>
    <row r="130" spans="1:14" s="87" customFormat="1" ht="14.5">
      <c r="A130" s="45"/>
      <c r="B130" s="46" t="s">
        <v>6</v>
      </c>
      <c r="C130" s="47">
        <v>0</v>
      </c>
      <c r="D130" s="48">
        <v>48.827270977999987</v>
      </c>
      <c r="E130" s="49">
        <f t="shared" si="60"/>
        <v>-48.827270977999987</v>
      </c>
      <c r="F130" s="47">
        <v>0</v>
      </c>
      <c r="G130" s="50">
        <v>0</v>
      </c>
      <c r="H130" s="49">
        <f t="shared" si="61"/>
        <v>0</v>
      </c>
      <c r="I130" s="47">
        <v>0</v>
      </c>
      <c r="J130" s="51">
        <v>338</v>
      </c>
      <c r="K130" s="52">
        <f t="shared" si="62"/>
        <v>-338</v>
      </c>
      <c r="L130" s="47">
        <v>0</v>
      </c>
      <c r="M130" s="53">
        <v>0</v>
      </c>
      <c r="N130" s="52">
        <f t="shared" si="63"/>
        <v>0</v>
      </c>
    </row>
    <row r="131" spans="1:14" s="87" customFormat="1" ht="14.5">
      <c r="A131" s="45"/>
      <c r="B131" s="46" t="s">
        <v>25</v>
      </c>
      <c r="C131" s="47">
        <v>48.83</v>
      </c>
      <c r="D131" s="48">
        <v>0</v>
      </c>
      <c r="E131" s="49">
        <f t="shared" si="60"/>
        <v>48.83</v>
      </c>
      <c r="F131" s="47">
        <v>31.55</v>
      </c>
      <c r="G131" s="50">
        <v>31.545535529000002</v>
      </c>
      <c r="H131" s="49">
        <f t="shared" si="61"/>
        <v>4.4644709999985821E-3</v>
      </c>
      <c r="I131" s="47">
        <v>338</v>
      </c>
      <c r="J131" s="51">
        <v>0</v>
      </c>
      <c r="K131" s="52">
        <f t="shared" si="62"/>
        <v>338</v>
      </c>
      <c r="L131" s="47">
        <v>289</v>
      </c>
      <c r="M131" s="53">
        <v>289</v>
      </c>
      <c r="N131" s="52">
        <f t="shared" si="63"/>
        <v>0</v>
      </c>
    </row>
    <row r="132" spans="1:14" s="88" customFormat="1">
      <c r="A132" s="41"/>
      <c r="B132" s="54"/>
      <c r="C132" s="55">
        <f>C127+C128+C129+C130+C131</f>
        <v>1866.6999999999998</v>
      </c>
      <c r="D132" s="56">
        <f>D127+D128+D129+D130+D131</f>
        <v>1866.7022207619993</v>
      </c>
      <c r="E132" s="57">
        <f t="shared" si="60"/>
        <v>-2.2207619995242567E-3</v>
      </c>
      <c r="F132" s="55">
        <f>F127+F128+F129+F130+F131</f>
        <v>2148.7700000000004</v>
      </c>
      <c r="G132" s="56">
        <f>G127+G128+G129+G130+G131</f>
        <v>2148.7647481029999</v>
      </c>
      <c r="H132" s="57">
        <f t="shared" si="61"/>
        <v>5.2518970005621668E-3</v>
      </c>
      <c r="I132" s="55">
        <f>I127+I128+I129+I130+I131</f>
        <v>250894</v>
      </c>
      <c r="J132" s="58">
        <f>J127+J128+J129+J130+J131</f>
        <v>250894</v>
      </c>
      <c r="K132" s="59">
        <f t="shared" si="62"/>
        <v>0</v>
      </c>
      <c r="L132" s="55">
        <f>L127+L128+L129+L130+L131</f>
        <v>291980</v>
      </c>
      <c r="M132" s="58">
        <f>M127+M128+M129+M130+M131</f>
        <v>291980</v>
      </c>
      <c r="N132" s="59">
        <f t="shared" si="63"/>
        <v>0</v>
      </c>
    </row>
    <row r="133" spans="1:14" s="87" customFormat="1" ht="14.5">
      <c r="A133" s="45"/>
      <c r="B133" s="46"/>
      <c r="C133" s="47"/>
      <c r="D133" s="48"/>
      <c r="E133" s="49"/>
      <c r="F133" s="47"/>
      <c r="G133" s="50"/>
      <c r="H133" s="49"/>
      <c r="I133" s="47"/>
      <c r="J133" s="51"/>
      <c r="K133" s="52"/>
      <c r="L133" s="47"/>
      <c r="M133" s="53"/>
      <c r="N133" s="52"/>
    </row>
    <row r="134" spans="1:14" s="88" customFormat="1">
      <c r="A134" s="41">
        <v>17</v>
      </c>
      <c r="B134" s="42" t="s">
        <v>21</v>
      </c>
      <c r="C134" s="47"/>
      <c r="D134" s="43"/>
      <c r="E134" s="60"/>
      <c r="F134" s="47"/>
      <c r="G134" s="43"/>
      <c r="H134" s="60"/>
      <c r="I134" s="47"/>
      <c r="J134" s="43"/>
      <c r="K134" s="61"/>
      <c r="L134" s="47"/>
      <c r="M134" s="43"/>
      <c r="N134" s="61"/>
    </row>
    <row r="135" spans="1:14" s="87" customFormat="1" ht="14.5">
      <c r="A135" s="45"/>
      <c r="B135" s="46" t="s">
        <v>3</v>
      </c>
      <c r="C135" s="47">
        <v>10.27</v>
      </c>
      <c r="D135" s="48">
        <v>10.26544537</v>
      </c>
      <c r="E135" s="49">
        <f>C135-D135</f>
        <v>4.5546299999994488E-3</v>
      </c>
      <c r="F135" s="47">
        <v>24.91</v>
      </c>
      <c r="G135" s="50">
        <v>24.913108349999998</v>
      </c>
      <c r="H135" s="49">
        <f>F135-G135</f>
        <v>-3.1083499999979836E-3</v>
      </c>
      <c r="I135" s="47">
        <v>240</v>
      </c>
      <c r="J135" s="51">
        <v>240</v>
      </c>
      <c r="K135" s="52">
        <f>I135-J135</f>
        <v>0</v>
      </c>
      <c r="L135" s="47">
        <v>555</v>
      </c>
      <c r="M135" s="53">
        <v>555</v>
      </c>
      <c r="N135" s="52">
        <f>L135-M135</f>
        <v>0</v>
      </c>
    </row>
    <row r="136" spans="1:14" s="87" customFormat="1" ht="14.5">
      <c r="A136" s="45"/>
      <c r="B136" s="46" t="s">
        <v>4</v>
      </c>
      <c r="C136" s="47">
        <v>522.42999999999995</v>
      </c>
      <c r="D136" s="48">
        <v>522.43078929599994</v>
      </c>
      <c r="E136" s="49">
        <f t="shared" ref="E136:E140" si="64">C136-D136</f>
        <v>-7.892959999935556E-4</v>
      </c>
      <c r="F136" s="47">
        <v>644.84</v>
      </c>
      <c r="G136" s="50">
        <v>644.84141017099989</v>
      </c>
      <c r="H136" s="49">
        <f t="shared" ref="H136:H140" si="65">F136-G136</f>
        <v>-1.4101709998612932E-3</v>
      </c>
      <c r="I136" s="47">
        <v>120787</v>
      </c>
      <c r="J136" s="51">
        <v>120787</v>
      </c>
      <c r="K136" s="52">
        <f t="shared" ref="K136:K140" si="66">I136-J136</f>
        <v>0</v>
      </c>
      <c r="L136" s="47">
        <v>126219</v>
      </c>
      <c r="M136" s="53">
        <v>126219</v>
      </c>
      <c r="N136" s="52">
        <f t="shared" ref="N136:N140" si="67">L136-M136</f>
        <v>0</v>
      </c>
    </row>
    <row r="137" spans="1:14" s="87" customFormat="1" ht="14.5">
      <c r="A137" s="45"/>
      <c r="B137" s="46" t="s">
        <v>5</v>
      </c>
      <c r="C137" s="47">
        <v>29.16</v>
      </c>
      <c r="D137" s="48">
        <v>29.155052188999999</v>
      </c>
      <c r="E137" s="49">
        <f t="shared" si="64"/>
        <v>4.9478110000009679E-3</v>
      </c>
      <c r="F137" s="47">
        <v>71.709999999999994</v>
      </c>
      <c r="G137" s="50">
        <v>71.705951900000002</v>
      </c>
      <c r="H137" s="49">
        <f t="shared" si="65"/>
        <v>4.0480999999914502E-3</v>
      </c>
      <c r="I137" s="47">
        <v>0</v>
      </c>
      <c r="J137" s="51">
        <v>0</v>
      </c>
      <c r="K137" s="52">
        <f t="shared" si="66"/>
        <v>0</v>
      </c>
      <c r="L137" s="47">
        <v>0</v>
      </c>
      <c r="M137" s="53">
        <v>0</v>
      </c>
      <c r="N137" s="52">
        <f t="shared" si="67"/>
        <v>0</v>
      </c>
    </row>
    <row r="138" spans="1:14" s="87" customFormat="1" ht="14.5">
      <c r="A138" s="45"/>
      <c r="B138" s="46" t="s">
        <v>6</v>
      </c>
      <c r="C138" s="47">
        <v>3.28</v>
      </c>
      <c r="D138" s="48">
        <v>38.052826603</v>
      </c>
      <c r="E138" s="49">
        <f t="shared" si="64"/>
        <v>-34.772826602999999</v>
      </c>
      <c r="F138" s="47">
        <v>1.71</v>
      </c>
      <c r="G138" s="50">
        <v>1.7067108739999997</v>
      </c>
      <c r="H138" s="49">
        <f t="shared" si="65"/>
        <v>3.2891260000003086E-3</v>
      </c>
      <c r="I138" s="47">
        <v>120</v>
      </c>
      <c r="J138" s="51">
        <v>120</v>
      </c>
      <c r="K138" s="52">
        <f t="shared" si="66"/>
        <v>0</v>
      </c>
      <c r="L138" s="47">
        <v>81</v>
      </c>
      <c r="M138" s="53">
        <v>81</v>
      </c>
      <c r="N138" s="52">
        <f t="shared" si="67"/>
        <v>0</v>
      </c>
    </row>
    <row r="139" spans="1:14" s="87" customFormat="1" ht="14.5">
      <c r="A139" s="45"/>
      <c r="B139" s="46" t="s">
        <v>25</v>
      </c>
      <c r="C139" s="47">
        <v>34.78</v>
      </c>
      <c r="D139" s="48">
        <v>0</v>
      </c>
      <c r="E139" s="49">
        <f t="shared" si="64"/>
        <v>34.78</v>
      </c>
      <c r="F139" s="47">
        <v>19.78</v>
      </c>
      <c r="G139" s="50">
        <v>19.776672927</v>
      </c>
      <c r="H139" s="49">
        <f t="shared" si="65"/>
        <v>3.327073000001235E-3</v>
      </c>
      <c r="I139" s="47">
        <v>0</v>
      </c>
      <c r="J139" s="51">
        <v>0</v>
      </c>
      <c r="K139" s="52">
        <f t="shared" si="66"/>
        <v>0</v>
      </c>
      <c r="L139" s="47">
        <v>0</v>
      </c>
      <c r="M139" s="53">
        <v>0</v>
      </c>
      <c r="N139" s="52">
        <f t="shared" si="67"/>
        <v>0</v>
      </c>
    </row>
    <row r="140" spans="1:14" s="88" customFormat="1">
      <c r="A140" s="41"/>
      <c r="B140" s="54"/>
      <c r="C140" s="55">
        <f>C135+C136+C137+C138+C139</f>
        <v>599.91999999999985</v>
      </c>
      <c r="D140" s="56">
        <f>D135+D136+D137+D138+D139</f>
        <v>599.90411345799987</v>
      </c>
      <c r="E140" s="57">
        <f t="shared" si="64"/>
        <v>1.5886541999975634E-2</v>
      </c>
      <c r="F140" s="55">
        <f>F135+F136+F137+F138+F139</f>
        <v>762.95</v>
      </c>
      <c r="G140" s="56">
        <f>G135+G136+G137+G138+G139</f>
        <v>762.94385422199991</v>
      </c>
      <c r="H140" s="57">
        <f t="shared" si="65"/>
        <v>6.1457780001319406E-3</v>
      </c>
      <c r="I140" s="55">
        <f>I135+I136+I137+I138+I139</f>
        <v>121147</v>
      </c>
      <c r="J140" s="58">
        <f>J135+J136+J137+J138+J139</f>
        <v>121147</v>
      </c>
      <c r="K140" s="59">
        <f t="shared" si="66"/>
        <v>0</v>
      </c>
      <c r="L140" s="55">
        <f>L135+L136+L137+L138+L139</f>
        <v>126855</v>
      </c>
      <c r="M140" s="58">
        <f>M135+M136+M137+M138+M139</f>
        <v>126855</v>
      </c>
      <c r="N140" s="59">
        <f t="shared" si="67"/>
        <v>0</v>
      </c>
    </row>
    <row r="141" spans="1:14" s="87" customFormat="1" ht="14.5">
      <c r="A141" s="45"/>
      <c r="B141" s="46"/>
      <c r="C141" s="47"/>
      <c r="D141" s="48"/>
      <c r="E141" s="49"/>
      <c r="F141" s="47"/>
      <c r="G141" s="50"/>
      <c r="H141" s="49"/>
      <c r="I141" s="47"/>
      <c r="J141" s="51"/>
      <c r="K141" s="52"/>
      <c r="L141" s="47"/>
      <c r="M141" s="53"/>
      <c r="N141" s="52"/>
    </row>
    <row r="142" spans="1:14" s="88" customFormat="1">
      <c r="A142" s="41">
        <v>18</v>
      </c>
      <c r="B142" s="42" t="s">
        <v>40</v>
      </c>
      <c r="C142" s="47"/>
      <c r="D142" s="43"/>
      <c r="E142" s="60"/>
      <c r="F142" s="47"/>
      <c r="G142" s="43"/>
      <c r="H142" s="60"/>
      <c r="I142" s="47"/>
      <c r="J142" s="43"/>
      <c r="K142" s="61"/>
      <c r="L142" s="47"/>
      <c r="M142" s="43"/>
      <c r="N142" s="61"/>
    </row>
    <row r="143" spans="1:14" s="89" customFormat="1" ht="14.25" customHeight="1">
      <c r="A143" s="45"/>
      <c r="B143" s="46" t="s">
        <v>3</v>
      </c>
      <c r="C143" s="47">
        <v>15.13</v>
      </c>
      <c r="D143" s="48">
        <v>15.1291859</v>
      </c>
      <c r="E143" s="49">
        <f>C143-D143</f>
        <v>8.1410000000126104E-4</v>
      </c>
      <c r="F143" s="47">
        <v>12.08</v>
      </c>
      <c r="G143" s="50">
        <v>12.078252995</v>
      </c>
      <c r="H143" s="49">
        <f>F143-G143</f>
        <v>1.7470050000003567E-3</v>
      </c>
      <c r="I143" s="47">
        <v>642</v>
      </c>
      <c r="J143" s="51">
        <v>642</v>
      </c>
      <c r="K143" s="52">
        <f>I143-J143</f>
        <v>0</v>
      </c>
      <c r="L143" s="47">
        <v>546</v>
      </c>
      <c r="M143" s="53">
        <v>546</v>
      </c>
      <c r="N143" s="52">
        <f>L143-M143</f>
        <v>0</v>
      </c>
    </row>
    <row r="144" spans="1:14" s="87" customFormat="1" ht="14.5">
      <c r="A144" s="45"/>
      <c r="B144" s="46" t="s">
        <v>4</v>
      </c>
      <c r="C144" s="47">
        <v>371.89</v>
      </c>
      <c r="D144" s="48">
        <v>371.88720895500001</v>
      </c>
      <c r="E144" s="49">
        <f t="shared" ref="E144:E148" si="68">C144-D144</f>
        <v>2.7910449999808407E-3</v>
      </c>
      <c r="F144" s="47">
        <v>390.9</v>
      </c>
      <c r="G144" s="62">
        <v>390.89979542400005</v>
      </c>
      <c r="H144" s="49">
        <f t="shared" ref="H144:H148" si="69">F144-G144</f>
        <v>2.045759999305119E-4</v>
      </c>
      <c r="I144" s="47">
        <v>158221</v>
      </c>
      <c r="J144" s="51">
        <v>158221</v>
      </c>
      <c r="K144" s="52">
        <f t="shared" ref="K144:K148" si="70">I144-J144</f>
        <v>0</v>
      </c>
      <c r="L144" s="47">
        <v>125811</v>
      </c>
      <c r="M144" s="63">
        <v>125811</v>
      </c>
      <c r="N144" s="52">
        <f t="shared" ref="N144:N148" si="71">L144-M144</f>
        <v>0</v>
      </c>
    </row>
    <row r="145" spans="1:14" s="87" customFormat="1" ht="14.5">
      <c r="A145" s="45"/>
      <c r="B145" s="46" t="s">
        <v>5</v>
      </c>
      <c r="C145" s="47">
        <v>12.81</v>
      </c>
      <c r="D145" s="48">
        <v>53.834943136870706</v>
      </c>
      <c r="E145" s="49">
        <f t="shared" si="68"/>
        <v>-41.024943136870704</v>
      </c>
      <c r="F145" s="47">
        <v>17.899999999999999</v>
      </c>
      <c r="G145" s="50">
        <v>17.901928994608696</v>
      </c>
      <c r="H145" s="49">
        <f t="shared" si="69"/>
        <v>-1.9289946086971099E-3</v>
      </c>
      <c r="I145" s="47">
        <v>0</v>
      </c>
      <c r="J145" s="51">
        <v>96</v>
      </c>
      <c r="K145" s="52">
        <f t="shared" si="70"/>
        <v>-96</v>
      </c>
      <c r="L145" s="47">
        <v>2</v>
      </c>
      <c r="M145" s="53">
        <v>2</v>
      </c>
      <c r="N145" s="52">
        <f t="shared" si="71"/>
        <v>0</v>
      </c>
    </row>
    <row r="146" spans="1:14" s="87" customFormat="1" ht="14.5">
      <c r="A146" s="45"/>
      <c r="B146" s="46" t="s">
        <v>6</v>
      </c>
      <c r="C146" s="47">
        <v>204.53</v>
      </c>
      <c r="D146" s="48">
        <v>204.52759419806017</v>
      </c>
      <c r="E146" s="49">
        <f t="shared" si="68"/>
        <v>2.4058019398296437E-3</v>
      </c>
      <c r="F146" s="47">
        <v>65.48</v>
      </c>
      <c r="G146" s="50">
        <v>65.484804443270008</v>
      </c>
      <c r="H146" s="49">
        <f t="shared" si="69"/>
        <v>-4.8044432700038442E-3</v>
      </c>
      <c r="I146" s="47">
        <v>26</v>
      </c>
      <c r="J146" s="51">
        <v>26</v>
      </c>
      <c r="K146" s="52">
        <f t="shared" si="70"/>
        <v>0</v>
      </c>
      <c r="L146" s="47">
        <v>24</v>
      </c>
      <c r="M146" s="53">
        <v>24</v>
      </c>
      <c r="N146" s="52">
        <f t="shared" si="71"/>
        <v>0</v>
      </c>
    </row>
    <row r="147" spans="1:14" s="87" customFormat="1" ht="14.5">
      <c r="A147" s="45"/>
      <c r="B147" s="46" t="s">
        <v>25</v>
      </c>
      <c r="C147" s="47">
        <v>41.02</v>
      </c>
      <c r="D147" s="48">
        <v>0</v>
      </c>
      <c r="E147" s="49">
        <f t="shared" si="68"/>
        <v>41.02</v>
      </c>
      <c r="F147" s="47">
        <v>15.26</v>
      </c>
      <c r="G147" s="50">
        <v>15.262284471999999</v>
      </c>
      <c r="H147" s="49">
        <f t="shared" si="69"/>
        <v>-2.2844719999994823E-3</v>
      </c>
      <c r="I147" s="47">
        <v>96</v>
      </c>
      <c r="J147" s="51">
        <v>0</v>
      </c>
      <c r="K147" s="52">
        <f t="shared" si="70"/>
        <v>96</v>
      </c>
      <c r="L147" s="47">
        <v>58</v>
      </c>
      <c r="M147" s="53">
        <v>58</v>
      </c>
      <c r="N147" s="52">
        <f t="shared" si="71"/>
        <v>0</v>
      </c>
    </row>
    <row r="148" spans="1:14" s="88" customFormat="1">
      <c r="A148" s="41"/>
      <c r="B148" s="54"/>
      <c r="C148" s="55">
        <f>C143+C144+C145+C146+C147</f>
        <v>645.38</v>
      </c>
      <c r="D148" s="56">
        <f>D143+D144+D145+D146+D147</f>
        <v>645.37893218993088</v>
      </c>
      <c r="E148" s="57">
        <f t="shared" si="68"/>
        <v>1.0678100691166037E-3</v>
      </c>
      <c r="F148" s="55">
        <f>F143+F144+F145+F146+F147</f>
        <v>501.61999999999995</v>
      </c>
      <c r="G148" s="56">
        <f>G143+G144+G145+G146+G147</f>
        <v>501.6270663288787</v>
      </c>
      <c r="H148" s="57">
        <f t="shared" si="69"/>
        <v>-7.0663288787500278E-3</v>
      </c>
      <c r="I148" s="55">
        <f>I143+I144+I145+I146+I147</f>
        <v>158985</v>
      </c>
      <c r="J148" s="58">
        <f>J143+J144+J145+J146+J147</f>
        <v>158985</v>
      </c>
      <c r="K148" s="59">
        <f t="shared" si="70"/>
        <v>0</v>
      </c>
      <c r="L148" s="55">
        <f>L143+L144+L145+L146+L147</f>
        <v>126441</v>
      </c>
      <c r="M148" s="58">
        <f>M143+M144+M145+M146+M147</f>
        <v>126441</v>
      </c>
      <c r="N148" s="59">
        <f t="shared" si="71"/>
        <v>0</v>
      </c>
    </row>
    <row r="149" spans="1:14" s="87" customFormat="1" ht="14.5">
      <c r="A149" s="45"/>
      <c r="B149" s="46"/>
      <c r="C149" s="47"/>
      <c r="D149" s="48"/>
      <c r="E149" s="49"/>
      <c r="F149" s="47"/>
      <c r="G149" s="50"/>
      <c r="H149" s="49"/>
      <c r="I149" s="47"/>
      <c r="J149" s="51"/>
      <c r="K149" s="52"/>
      <c r="L149" s="47"/>
      <c r="M149" s="53"/>
      <c r="N149" s="52"/>
    </row>
    <row r="150" spans="1:14" s="88" customFormat="1">
      <c r="A150" s="41">
        <v>19</v>
      </c>
      <c r="B150" s="42" t="s">
        <v>12</v>
      </c>
      <c r="C150" s="47"/>
      <c r="D150" s="43"/>
      <c r="E150" s="60"/>
      <c r="F150" s="47"/>
      <c r="G150" s="43"/>
      <c r="H150" s="60"/>
      <c r="I150" s="47"/>
      <c r="J150" s="43"/>
      <c r="K150" s="61"/>
      <c r="L150" s="47"/>
      <c r="M150" s="43"/>
      <c r="N150" s="61"/>
    </row>
    <row r="151" spans="1:14" s="87" customFormat="1" ht="14.5">
      <c r="A151" s="45"/>
      <c r="B151" s="46" t="s">
        <v>3</v>
      </c>
      <c r="C151" s="47">
        <v>9.68</v>
      </c>
      <c r="D151" s="48">
        <v>9.6802297999999993</v>
      </c>
      <c r="E151" s="49">
        <f>C151-D151</f>
        <v>-2.2979999999961365E-4</v>
      </c>
      <c r="F151" s="47">
        <v>1.98</v>
      </c>
      <c r="G151" s="50">
        <v>1.9033826999999999</v>
      </c>
      <c r="H151" s="49">
        <f>F151-G151</f>
        <v>7.661730000000011E-2</v>
      </c>
      <c r="I151" s="47">
        <v>2014</v>
      </c>
      <c r="J151" s="51">
        <v>2014</v>
      </c>
      <c r="K151" s="52">
        <f>I151-J151</f>
        <v>0</v>
      </c>
      <c r="L151" s="47">
        <v>374</v>
      </c>
      <c r="M151" s="53">
        <v>366</v>
      </c>
      <c r="N151" s="52">
        <f>L151-M151</f>
        <v>8</v>
      </c>
    </row>
    <row r="152" spans="1:14" s="87" customFormat="1" ht="14.5">
      <c r="A152" s="45"/>
      <c r="B152" s="46" t="s">
        <v>4</v>
      </c>
      <c r="C152" s="47">
        <v>5.81</v>
      </c>
      <c r="D152" s="48">
        <v>5.8050126999999998</v>
      </c>
      <c r="E152" s="49">
        <f t="shared" ref="E152:E156" si="72">C152-D152</f>
        <v>4.9872999999998058E-3</v>
      </c>
      <c r="F152" s="47">
        <v>1.37</v>
      </c>
      <c r="G152" s="50">
        <v>2.0175369999999999</v>
      </c>
      <c r="H152" s="49">
        <f t="shared" ref="H152:H156" si="73">F152-G152</f>
        <v>-0.64753699999999981</v>
      </c>
      <c r="I152" s="47">
        <v>5307</v>
      </c>
      <c r="J152" s="51">
        <v>5307</v>
      </c>
      <c r="K152" s="52">
        <f t="shared" ref="K152:K156" si="74">I152-J152</f>
        <v>0</v>
      </c>
      <c r="L152" s="47">
        <v>1261</v>
      </c>
      <c r="M152" s="53">
        <v>1256</v>
      </c>
      <c r="N152" s="52">
        <f t="shared" ref="N152:N156" si="75">L152-M152</f>
        <v>5</v>
      </c>
    </row>
    <row r="153" spans="1:14" s="87" customFormat="1" ht="14.5">
      <c r="A153" s="45"/>
      <c r="B153" s="46" t="s">
        <v>5</v>
      </c>
      <c r="C153" s="47">
        <v>0</v>
      </c>
      <c r="D153" s="48">
        <v>0</v>
      </c>
      <c r="E153" s="49">
        <f t="shared" si="72"/>
        <v>0</v>
      </c>
      <c r="F153" s="47">
        <v>0</v>
      </c>
      <c r="G153" s="50">
        <v>0</v>
      </c>
      <c r="H153" s="49">
        <f t="shared" si="73"/>
        <v>0</v>
      </c>
      <c r="I153" s="47">
        <v>0</v>
      </c>
      <c r="J153" s="51">
        <v>0</v>
      </c>
      <c r="K153" s="52">
        <f t="shared" si="74"/>
        <v>0</v>
      </c>
      <c r="L153" s="47">
        <v>0</v>
      </c>
      <c r="M153" s="53">
        <v>0</v>
      </c>
      <c r="N153" s="52">
        <f t="shared" si="75"/>
        <v>0</v>
      </c>
    </row>
    <row r="154" spans="1:14" s="87" customFormat="1" ht="14.5">
      <c r="A154" s="45"/>
      <c r="B154" s="46" t="s">
        <v>6</v>
      </c>
      <c r="C154" s="47">
        <v>0</v>
      </c>
      <c r="D154" s="72">
        <v>0</v>
      </c>
      <c r="E154" s="49">
        <f t="shared" si="72"/>
        <v>0</v>
      </c>
      <c r="F154" s="47">
        <v>0</v>
      </c>
      <c r="G154" s="62">
        <v>0</v>
      </c>
      <c r="H154" s="49">
        <f t="shared" si="73"/>
        <v>0</v>
      </c>
      <c r="I154" s="47">
        <v>0</v>
      </c>
      <c r="J154" s="73">
        <v>0</v>
      </c>
      <c r="K154" s="52">
        <f t="shared" si="74"/>
        <v>0</v>
      </c>
      <c r="L154" s="47">
        <v>0</v>
      </c>
      <c r="M154" s="63">
        <v>0</v>
      </c>
      <c r="N154" s="52">
        <f t="shared" si="75"/>
        <v>0</v>
      </c>
    </row>
    <row r="155" spans="1:14" s="87" customFormat="1" ht="14.5">
      <c r="A155" s="45"/>
      <c r="B155" s="46" t="s">
        <v>25</v>
      </c>
      <c r="C155" s="47">
        <v>0</v>
      </c>
      <c r="D155" s="72">
        <v>0</v>
      </c>
      <c r="E155" s="49">
        <f t="shared" si="72"/>
        <v>0</v>
      </c>
      <c r="F155" s="47">
        <v>0</v>
      </c>
      <c r="G155" s="50">
        <v>0</v>
      </c>
      <c r="H155" s="49">
        <f t="shared" si="73"/>
        <v>0</v>
      </c>
      <c r="I155" s="47">
        <v>0</v>
      </c>
      <c r="J155" s="73">
        <v>0</v>
      </c>
      <c r="K155" s="52">
        <f t="shared" si="74"/>
        <v>0</v>
      </c>
      <c r="L155" s="47">
        <v>0</v>
      </c>
      <c r="M155" s="53">
        <v>0</v>
      </c>
      <c r="N155" s="52">
        <f t="shared" si="75"/>
        <v>0</v>
      </c>
    </row>
    <row r="156" spans="1:14" s="88" customFormat="1">
      <c r="A156" s="41"/>
      <c r="B156" s="54"/>
      <c r="C156" s="55">
        <f>C151+C152+C153+C154+C155</f>
        <v>15.489999999999998</v>
      </c>
      <c r="D156" s="56">
        <f>D151+D152+D153+D154+D155</f>
        <v>15.485242499999998</v>
      </c>
      <c r="E156" s="57">
        <f t="shared" si="72"/>
        <v>4.7575000000001921E-3</v>
      </c>
      <c r="F156" s="55">
        <f>F151+F152+F153+F154+F155</f>
        <v>3.35</v>
      </c>
      <c r="G156" s="56">
        <f>G151+G152+G153+G154+G155</f>
        <v>3.9209196999999998</v>
      </c>
      <c r="H156" s="57">
        <f t="shared" si="73"/>
        <v>-0.5709196999999997</v>
      </c>
      <c r="I156" s="55">
        <f>I151+I152+I153+I154+I155</f>
        <v>7321</v>
      </c>
      <c r="J156" s="58">
        <f>J151+J152+J153+J154+J155</f>
        <v>7321</v>
      </c>
      <c r="K156" s="59">
        <f t="shared" si="74"/>
        <v>0</v>
      </c>
      <c r="L156" s="55">
        <f>L151+L152+L153+L154+L155</f>
        <v>1635</v>
      </c>
      <c r="M156" s="58">
        <f>M151+M152+M153+M154+M155</f>
        <v>1622</v>
      </c>
      <c r="N156" s="59">
        <f t="shared" si="75"/>
        <v>13</v>
      </c>
    </row>
    <row r="157" spans="1:14" s="87" customFormat="1" ht="14.5">
      <c r="A157" s="45"/>
      <c r="B157" s="46"/>
      <c r="C157" s="47"/>
      <c r="D157" s="72"/>
      <c r="E157" s="85"/>
      <c r="F157" s="47"/>
      <c r="G157" s="50"/>
      <c r="H157" s="85"/>
      <c r="I157" s="47"/>
      <c r="J157" s="73"/>
      <c r="K157" s="86"/>
      <c r="L157" s="47"/>
      <c r="M157" s="53"/>
      <c r="N157" s="86"/>
    </row>
    <row r="158" spans="1:14" s="88" customFormat="1">
      <c r="A158" s="90">
        <v>20</v>
      </c>
      <c r="B158" s="42" t="s">
        <v>7</v>
      </c>
      <c r="C158" s="47"/>
      <c r="D158" s="43"/>
      <c r="E158" s="60"/>
      <c r="F158" s="47"/>
      <c r="G158" s="43"/>
      <c r="H158" s="60"/>
      <c r="I158" s="47"/>
      <c r="J158" s="43"/>
      <c r="K158" s="61"/>
      <c r="L158" s="47"/>
      <c r="M158" s="43"/>
      <c r="N158" s="61"/>
    </row>
    <row r="159" spans="1:14" s="87" customFormat="1" ht="14.5">
      <c r="A159" s="91"/>
      <c r="B159" s="46" t="s">
        <v>3</v>
      </c>
      <c r="C159" s="47">
        <v>345.32</v>
      </c>
      <c r="D159" s="48">
        <v>345.32051944199992</v>
      </c>
      <c r="E159" s="49">
        <f>C159-D159</f>
        <v>-5.1944199992703943E-4</v>
      </c>
      <c r="F159" s="47">
        <v>405.49</v>
      </c>
      <c r="G159" s="50">
        <v>405.49003768999978</v>
      </c>
      <c r="H159" s="49">
        <f>F159-G159</f>
        <v>-3.7689999771828298E-5</v>
      </c>
      <c r="I159" s="47">
        <v>15427</v>
      </c>
      <c r="J159" s="51">
        <v>15427</v>
      </c>
      <c r="K159" s="52">
        <f>I159-J159</f>
        <v>0</v>
      </c>
      <c r="L159" s="47">
        <v>13048</v>
      </c>
      <c r="M159" s="53">
        <v>13048</v>
      </c>
      <c r="N159" s="52">
        <f>L159-M159</f>
        <v>0</v>
      </c>
    </row>
    <row r="160" spans="1:14" s="87" customFormat="1" ht="14.5">
      <c r="A160" s="91"/>
      <c r="B160" s="46" t="s">
        <v>4</v>
      </c>
      <c r="C160" s="47">
        <v>2914.3</v>
      </c>
      <c r="D160" s="48">
        <v>2914.3009764762996</v>
      </c>
      <c r="E160" s="49">
        <f t="shared" ref="E160:E164" si="76">C160-D160</f>
        <v>-9.7647629945640801E-4</v>
      </c>
      <c r="F160" s="47">
        <v>4268.45</v>
      </c>
      <c r="G160" s="50">
        <v>4268.4488657079955</v>
      </c>
      <c r="H160" s="49">
        <f t="shared" ref="H160:H164" si="77">F160-G160</f>
        <v>1.1342920042807236E-3</v>
      </c>
      <c r="I160" s="47">
        <v>700587</v>
      </c>
      <c r="J160" s="51">
        <v>700587</v>
      </c>
      <c r="K160" s="52">
        <f t="shared" ref="K160:K164" si="78">I160-J160</f>
        <v>0</v>
      </c>
      <c r="L160" s="47">
        <v>801622</v>
      </c>
      <c r="M160" s="53">
        <v>801622</v>
      </c>
      <c r="N160" s="52">
        <f t="shared" ref="N160:N164" si="79">L160-M160</f>
        <v>0</v>
      </c>
    </row>
    <row r="161" spans="1:14" s="87" customFormat="1" ht="14.5">
      <c r="A161" s="91"/>
      <c r="B161" s="46" t="s">
        <v>5</v>
      </c>
      <c r="C161" s="47">
        <v>2551.42</v>
      </c>
      <c r="D161" s="48">
        <v>2551.4182310599999</v>
      </c>
      <c r="E161" s="49">
        <f t="shared" si="76"/>
        <v>1.7689400001472677E-3</v>
      </c>
      <c r="F161" s="47">
        <v>983.69</v>
      </c>
      <c r="G161" s="50">
        <v>983.68971058299996</v>
      </c>
      <c r="H161" s="49">
        <f t="shared" si="77"/>
        <v>2.894170000899976E-4</v>
      </c>
      <c r="I161" s="47">
        <v>43</v>
      </c>
      <c r="J161" s="51">
        <v>43</v>
      </c>
      <c r="K161" s="52">
        <f t="shared" si="78"/>
        <v>0</v>
      </c>
      <c r="L161" s="47">
        <v>72</v>
      </c>
      <c r="M161" s="53">
        <v>72</v>
      </c>
      <c r="N161" s="52">
        <f t="shared" si="79"/>
        <v>0</v>
      </c>
    </row>
    <row r="162" spans="1:14" s="87" customFormat="1" ht="14.5">
      <c r="A162" s="91"/>
      <c r="B162" s="46" t="s">
        <v>6</v>
      </c>
      <c r="C162" s="47">
        <v>112.05</v>
      </c>
      <c r="D162" s="48">
        <v>162.10198360700008</v>
      </c>
      <c r="E162" s="49">
        <f t="shared" si="76"/>
        <v>-50.051983607000082</v>
      </c>
      <c r="F162" s="47">
        <v>129.05000000000001</v>
      </c>
      <c r="G162" s="50">
        <v>129.05113867899991</v>
      </c>
      <c r="H162" s="49">
        <f t="shared" si="77"/>
        <v>-1.1386789998937275E-3</v>
      </c>
      <c r="I162" s="47">
        <v>2</v>
      </c>
      <c r="J162" s="51">
        <v>362</v>
      </c>
      <c r="K162" s="52">
        <f t="shared" si="78"/>
        <v>-360</v>
      </c>
      <c r="L162" s="47">
        <v>10</v>
      </c>
      <c r="M162" s="53">
        <v>10</v>
      </c>
      <c r="N162" s="52">
        <f t="shared" si="79"/>
        <v>0</v>
      </c>
    </row>
    <row r="163" spans="1:14" s="87" customFormat="1" ht="14.5">
      <c r="A163" s="91"/>
      <c r="B163" s="46" t="s">
        <v>25</v>
      </c>
      <c r="C163" s="47">
        <v>54.06</v>
      </c>
      <c r="D163" s="48">
        <v>0</v>
      </c>
      <c r="E163" s="49">
        <f t="shared" si="76"/>
        <v>54.06</v>
      </c>
      <c r="F163" s="47">
        <v>131.24</v>
      </c>
      <c r="G163" s="50">
        <v>131.23660943699988</v>
      </c>
      <c r="H163" s="49">
        <f t="shared" si="77"/>
        <v>3.3905630001243026E-3</v>
      </c>
      <c r="I163" s="47">
        <v>360</v>
      </c>
      <c r="J163" s="51">
        <v>0</v>
      </c>
      <c r="K163" s="52">
        <f t="shared" si="78"/>
        <v>360</v>
      </c>
      <c r="L163" s="47">
        <v>766</v>
      </c>
      <c r="M163" s="53">
        <v>766</v>
      </c>
      <c r="N163" s="52">
        <f t="shared" si="79"/>
        <v>0</v>
      </c>
    </row>
    <row r="164" spans="1:14" s="88" customFormat="1">
      <c r="A164" s="90"/>
      <c r="B164" s="54"/>
      <c r="C164" s="55">
        <f>C159+C160+C161+C162+C163</f>
        <v>5977.1500000000015</v>
      </c>
      <c r="D164" s="56">
        <f>D159+D160+D161+D162+D163</f>
        <v>5973.1417105852988</v>
      </c>
      <c r="E164" s="57">
        <f t="shared" si="76"/>
        <v>4.0082894147026309</v>
      </c>
      <c r="F164" s="55">
        <f>F159+F160+F161+F162+F163</f>
        <v>5917.9199999999992</v>
      </c>
      <c r="G164" s="56">
        <f>G159+G160+G161+G162+G163</f>
        <v>5917.9163620969948</v>
      </c>
      <c r="H164" s="57">
        <f t="shared" si="77"/>
        <v>3.637903004346299E-3</v>
      </c>
      <c r="I164" s="55">
        <f>I159+I160+I161+I162+I163</f>
        <v>716419</v>
      </c>
      <c r="J164" s="58">
        <f>J159+J160+J161+J162+J163</f>
        <v>716419</v>
      </c>
      <c r="K164" s="59">
        <f t="shared" si="78"/>
        <v>0</v>
      </c>
      <c r="L164" s="55">
        <f>L159+L160+L161+L162+L163</f>
        <v>815518</v>
      </c>
      <c r="M164" s="58">
        <f>M159+M160+M161+M162+M163</f>
        <v>815518</v>
      </c>
      <c r="N164" s="59">
        <f t="shared" si="79"/>
        <v>0</v>
      </c>
    </row>
    <row r="165" spans="1:14" s="87" customFormat="1" ht="14.5">
      <c r="A165" s="91"/>
      <c r="B165" s="46"/>
      <c r="C165" s="47"/>
      <c r="D165" s="48"/>
      <c r="E165" s="49"/>
      <c r="F165" s="47"/>
      <c r="G165" s="50"/>
      <c r="H165" s="49"/>
      <c r="I165" s="47"/>
      <c r="J165" s="51"/>
      <c r="K165" s="52"/>
      <c r="L165" s="47"/>
      <c r="M165" s="53"/>
      <c r="N165" s="52"/>
    </row>
    <row r="166" spans="1:14" s="88" customFormat="1">
      <c r="A166" s="90">
        <v>21</v>
      </c>
      <c r="B166" s="42" t="s">
        <v>13</v>
      </c>
      <c r="C166" s="47"/>
      <c r="D166" s="43"/>
      <c r="E166" s="60"/>
      <c r="F166" s="47"/>
      <c r="G166" s="43"/>
      <c r="H166" s="60"/>
      <c r="I166" s="47"/>
      <c r="J166" s="43"/>
      <c r="K166" s="61"/>
      <c r="L166" s="47"/>
      <c r="M166" s="43"/>
      <c r="N166" s="61"/>
    </row>
    <row r="167" spans="1:14" s="87" customFormat="1" ht="14.5">
      <c r="A167" s="91"/>
      <c r="B167" s="46" t="s">
        <v>3</v>
      </c>
      <c r="C167" s="47">
        <v>30.23</v>
      </c>
      <c r="D167" s="48">
        <v>30.234900000000003</v>
      </c>
      <c r="E167" s="49">
        <f>C167-D167</f>
        <v>-4.900000000002791E-3</v>
      </c>
      <c r="F167" s="47">
        <v>26.57</v>
      </c>
      <c r="G167" s="50">
        <v>26.567700000000006</v>
      </c>
      <c r="H167" s="49">
        <f>F167-G167</f>
        <v>2.2999999999946397E-3</v>
      </c>
      <c r="I167" s="47">
        <v>2119</v>
      </c>
      <c r="J167" s="51">
        <v>2119</v>
      </c>
      <c r="K167" s="52">
        <f>I167-J167</f>
        <v>0</v>
      </c>
      <c r="L167" s="47">
        <v>1515</v>
      </c>
      <c r="M167" s="53">
        <v>1515</v>
      </c>
      <c r="N167" s="52">
        <f>L167-M167</f>
        <v>0</v>
      </c>
    </row>
    <row r="168" spans="1:14" s="87" customFormat="1" ht="14.5">
      <c r="A168" s="91"/>
      <c r="B168" s="46" t="s">
        <v>4</v>
      </c>
      <c r="C168" s="47">
        <v>207.52</v>
      </c>
      <c r="D168" s="48">
        <v>207.5188</v>
      </c>
      <c r="E168" s="49">
        <f t="shared" ref="E168:E172" si="80">C168-D168</f>
        <v>1.2000000000114142E-3</v>
      </c>
      <c r="F168" s="47">
        <v>231.45</v>
      </c>
      <c r="G168" s="50">
        <v>231.44840000000005</v>
      </c>
      <c r="H168" s="49">
        <f t="shared" ref="H168:H172" si="81">F168-G168</f>
        <v>1.5999999999394277E-3</v>
      </c>
      <c r="I168" s="47">
        <v>113158</v>
      </c>
      <c r="J168" s="51">
        <v>113158</v>
      </c>
      <c r="K168" s="52">
        <f t="shared" ref="K168:K172" si="82">I168-J168</f>
        <v>0</v>
      </c>
      <c r="L168" s="47">
        <v>131001</v>
      </c>
      <c r="M168" s="53">
        <v>131001</v>
      </c>
      <c r="N168" s="52">
        <f t="shared" ref="N168:N172" si="83">L168-M168</f>
        <v>0</v>
      </c>
    </row>
    <row r="169" spans="1:14" s="87" customFormat="1" ht="14.25" customHeight="1">
      <c r="A169" s="91"/>
      <c r="B169" s="46" t="s">
        <v>5</v>
      </c>
      <c r="C169" s="47">
        <v>123.66</v>
      </c>
      <c r="D169" s="48">
        <v>123.65800638106805</v>
      </c>
      <c r="E169" s="49">
        <f t="shared" si="80"/>
        <v>1.9936189319480491E-3</v>
      </c>
      <c r="F169" s="47">
        <v>158.91999999999999</v>
      </c>
      <c r="G169" s="50">
        <v>158.91820137725421</v>
      </c>
      <c r="H169" s="49">
        <f t="shared" si="81"/>
        <v>1.798622745781131E-3</v>
      </c>
      <c r="I169" s="47">
        <v>5</v>
      </c>
      <c r="J169" s="51">
        <v>5</v>
      </c>
      <c r="K169" s="52">
        <f t="shared" si="82"/>
        <v>0</v>
      </c>
      <c r="L169" s="47">
        <v>9</v>
      </c>
      <c r="M169" s="53">
        <v>9</v>
      </c>
      <c r="N169" s="52">
        <f t="shared" si="83"/>
        <v>0</v>
      </c>
    </row>
    <row r="170" spans="1:14" s="77" customFormat="1" ht="14.5">
      <c r="A170" s="91"/>
      <c r="B170" s="46" t="s">
        <v>6</v>
      </c>
      <c r="C170" s="47">
        <v>0</v>
      </c>
      <c r="D170" s="48">
        <v>74.981241828066061</v>
      </c>
      <c r="E170" s="49">
        <f t="shared" si="80"/>
        <v>-74.981241828066061</v>
      </c>
      <c r="F170" s="47">
        <v>0</v>
      </c>
      <c r="G170" s="50">
        <v>0</v>
      </c>
      <c r="H170" s="49">
        <f t="shared" si="81"/>
        <v>0</v>
      </c>
      <c r="I170" s="47">
        <v>0</v>
      </c>
      <c r="J170" s="51">
        <v>100</v>
      </c>
      <c r="K170" s="52">
        <f t="shared" si="82"/>
        <v>-100</v>
      </c>
      <c r="L170" s="47">
        <v>0</v>
      </c>
      <c r="M170" s="53">
        <v>0</v>
      </c>
      <c r="N170" s="52">
        <f t="shared" si="83"/>
        <v>0</v>
      </c>
    </row>
    <row r="171" spans="1:14" s="77" customFormat="1" ht="14.5">
      <c r="A171" s="91"/>
      <c r="B171" s="46" t="s">
        <v>25</v>
      </c>
      <c r="C171" s="47">
        <v>74.98</v>
      </c>
      <c r="D171" s="48">
        <v>0</v>
      </c>
      <c r="E171" s="49">
        <f t="shared" si="80"/>
        <v>74.98</v>
      </c>
      <c r="F171" s="47">
        <v>48.62</v>
      </c>
      <c r="G171" s="50">
        <v>48.622910183138401</v>
      </c>
      <c r="H171" s="49">
        <f t="shared" si="81"/>
        <v>-2.9101831384039656E-3</v>
      </c>
      <c r="I171" s="47">
        <v>100</v>
      </c>
      <c r="J171" s="51">
        <v>0</v>
      </c>
      <c r="K171" s="52">
        <f t="shared" si="82"/>
        <v>100</v>
      </c>
      <c r="L171" s="47">
        <v>97</v>
      </c>
      <c r="M171" s="53">
        <v>97</v>
      </c>
      <c r="N171" s="52">
        <f t="shared" si="83"/>
        <v>0</v>
      </c>
    </row>
    <row r="172" spans="1:14" s="74" customFormat="1">
      <c r="A172" s="90"/>
      <c r="B172" s="54"/>
      <c r="C172" s="55">
        <f>C167+C168+C169+C170+C171</f>
        <v>436.39</v>
      </c>
      <c r="D172" s="56">
        <f>D167+D168+D169+D170+D171</f>
        <v>436.39294820913409</v>
      </c>
      <c r="E172" s="57">
        <f t="shared" si="80"/>
        <v>-2.9482091341037631E-3</v>
      </c>
      <c r="F172" s="55">
        <f>F167+F168+F169+F170+F171</f>
        <v>465.55999999999995</v>
      </c>
      <c r="G172" s="56">
        <f>G167+G168+G169+G170+G171</f>
        <v>465.55721156039266</v>
      </c>
      <c r="H172" s="57">
        <f t="shared" si="81"/>
        <v>2.7884396072863638E-3</v>
      </c>
      <c r="I172" s="55">
        <f>I167+I168+I169+I170+I171</f>
        <v>115382</v>
      </c>
      <c r="J172" s="58">
        <f>J167+J168+J169+J170+J171</f>
        <v>115382</v>
      </c>
      <c r="K172" s="59">
        <f t="shared" si="82"/>
        <v>0</v>
      </c>
      <c r="L172" s="55">
        <f>L167+L168+L169+L170+L171</f>
        <v>132622</v>
      </c>
      <c r="M172" s="58">
        <f>M167+M168+M169+M170+M171</f>
        <v>132622</v>
      </c>
      <c r="N172" s="59">
        <f t="shared" si="83"/>
        <v>0</v>
      </c>
    </row>
    <row r="173" spans="1:14" s="77" customFormat="1" ht="14.5">
      <c r="A173" s="91"/>
      <c r="B173" s="46"/>
      <c r="C173" s="47"/>
      <c r="D173" s="48"/>
      <c r="E173" s="49"/>
      <c r="F173" s="47"/>
      <c r="G173" s="50"/>
      <c r="H173" s="49"/>
      <c r="I173" s="47"/>
      <c r="J173" s="51"/>
      <c r="K173" s="52"/>
      <c r="L173" s="47"/>
      <c r="M173" s="53"/>
      <c r="N173" s="52"/>
    </row>
    <row r="174" spans="1:14" s="74" customFormat="1">
      <c r="A174" s="90">
        <v>22</v>
      </c>
      <c r="B174" s="42" t="s">
        <v>41</v>
      </c>
      <c r="C174" s="47"/>
      <c r="D174" s="43"/>
      <c r="E174" s="60"/>
      <c r="F174" s="47"/>
      <c r="G174" s="43"/>
      <c r="H174" s="60"/>
      <c r="I174" s="47"/>
      <c r="J174" s="43"/>
      <c r="K174" s="61"/>
      <c r="L174" s="47"/>
      <c r="M174" s="43"/>
      <c r="N174" s="61"/>
    </row>
    <row r="175" spans="1:14" s="77" customFormat="1" ht="14.5">
      <c r="A175" s="91"/>
      <c r="B175" s="46" t="s">
        <v>3</v>
      </c>
      <c r="C175" s="47">
        <v>26.72</v>
      </c>
      <c r="D175" s="48">
        <v>26.723076822999996</v>
      </c>
      <c r="E175" s="49">
        <f>C175-D175</f>
        <v>-3.0768229999971197E-3</v>
      </c>
      <c r="F175" s="47">
        <v>51.61</v>
      </c>
      <c r="G175" s="50">
        <v>51.605756590000013</v>
      </c>
      <c r="H175" s="49">
        <f>F175-G175</f>
        <v>4.2434099999866248E-3</v>
      </c>
      <c r="I175" s="47">
        <v>837</v>
      </c>
      <c r="J175" s="51">
        <v>837</v>
      </c>
      <c r="K175" s="52">
        <f>I175-J175</f>
        <v>0</v>
      </c>
      <c r="L175" s="47">
        <v>1330</v>
      </c>
      <c r="M175" s="53">
        <v>1330</v>
      </c>
      <c r="N175" s="52">
        <f>L175-M175</f>
        <v>0</v>
      </c>
    </row>
    <row r="176" spans="1:14" s="77" customFormat="1" ht="14.5">
      <c r="A176" s="91"/>
      <c r="B176" s="46" t="s">
        <v>4</v>
      </c>
      <c r="C176" s="47">
        <v>251.89</v>
      </c>
      <c r="D176" s="48">
        <v>251.88701532199997</v>
      </c>
      <c r="E176" s="49">
        <f t="shared" ref="E176:E180" si="84">C176-D176</f>
        <v>2.9846780000184481E-3</v>
      </c>
      <c r="F176" s="47">
        <v>302.13</v>
      </c>
      <c r="G176" s="62">
        <v>302.12530738299995</v>
      </c>
      <c r="H176" s="49">
        <f t="shared" ref="H176:H180" si="85">F176-G176</f>
        <v>4.6926170000460843E-3</v>
      </c>
      <c r="I176" s="47">
        <v>58896</v>
      </c>
      <c r="J176" s="51">
        <v>58896</v>
      </c>
      <c r="K176" s="52">
        <f t="shared" ref="K176:K180" si="86">I176-J176</f>
        <v>0</v>
      </c>
      <c r="L176" s="47">
        <v>66416</v>
      </c>
      <c r="M176" s="63">
        <v>66416</v>
      </c>
      <c r="N176" s="52">
        <f t="shared" ref="N176:N180" si="87">L176-M176</f>
        <v>0</v>
      </c>
    </row>
    <row r="177" spans="1:14" ht="14.5">
      <c r="A177" s="91"/>
      <c r="B177" s="46" t="s">
        <v>5</v>
      </c>
      <c r="C177" s="47">
        <v>13.39</v>
      </c>
      <c r="D177" s="48">
        <v>13.390915575000003</v>
      </c>
      <c r="E177" s="49">
        <f t="shared" si="84"/>
        <v>-9.1557500000227776E-4</v>
      </c>
      <c r="F177" s="47">
        <v>17.649999999999999</v>
      </c>
      <c r="G177" s="50">
        <v>17.652885600000001</v>
      </c>
      <c r="H177" s="49">
        <f t="shared" si="85"/>
        <v>-2.8856000000025972E-3</v>
      </c>
      <c r="I177" s="47">
        <v>1</v>
      </c>
      <c r="J177" s="51">
        <v>1</v>
      </c>
      <c r="K177" s="52">
        <f t="shared" si="86"/>
        <v>0</v>
      </c>
      <c r="L177" s="47">
        <v>0</v>
      </c>
      <c r="M177" s="53">
        <v>0</v>
      </c>
      <c r="N177" s="52">
        <f t="shared" si="87"/>
        <v>0</v>
      </c>
    </row>
    <row r="178" spans="1:14" ht="14.5">
      <c r="A178" s="91"/>
      <c r="B178" s="46" t="s">
        <v>6</v>
      </c>
      <c r="C178" s="47">
        <v>2.33</v>
      </c>
      <c r="D178" s="48">
        <v>7.2879493210005037</v>
      </c>
      <c r="E178" s="49">
        <f t="shared" si="84"/>
        <v>-4.9579493210005037</v>
      </c>
      <c r="F178" s="47">
        <v>0.92</v>
      </c>
      <c r="G178" s="50">
        <v>0.92258253200000018</v>
      </c>
      <c r="H178" s="49">
        <f t="shared" si="85"/>
        <v>-2.5825320000001373E-3</v>
      </c>
      <c r="I178" s="47">
        <v>0</v>
      </c>
      <c r="J178" s="51">
        <v>7</v>
      </c>
      <c r="K178" s="52">
        <f t="shared" si="86"/>
        <v>-7</v>
      </c>
      <c r="L178" s="47">
        <v>0</v>
      </c>
      <c r="M178" s="53">
        <v>0</v>
      </c>
      <c r="N178" s="52">
        <f t="shared" si="87"/>
        <v>0</v>
      </c>
    </row>
    <row r="179" spans="1:14" ht="14.5">
      <c r="A179" s="91"/>
      <c r="B179" s="46" t="s">
        <v>25</v>
      </c>
      <c r="C179" s="47">
        <v>4.96</v>
      </c>
      <c r="D179" s="48">
        <v>0</v>
      </c>
      <c r="E179" s="49">
        <f t="shared" si="84"/>
        <v>4.96</v>
      </c>
      <c r="F179" s="47">
        <v>9.9700000000000006</v>
      </c>
      <c r="G179" s="50">
        <v>9.9679008840001178</v>
      </c>
      <c r="H179" s="49">
        <f t="shared" si="85"/>
        <v>2.0991159998828834E-3</v>
      </c>
      <c r="I179" s="47">
        <v>7</v>
      </c>
      <c r="J179" s="51">
        <v>0</v>
      </c>
      <c r="K179" s="52">
        <f t="shared" si="86"/>
        <v>7</v>
      </c>
      <c r="L179" s="47">
        <v>7</v>
      </c>
      <c r="M179" s="53">
        <v>7</v>
      </c>
      <c r="N179" s="52">
        <f t="shared" si="87"/>
        <v>0</v>
      </c>
    </row>
    <row r="180" spans="1:14" s="40" customFormat="1">
      <c r="A180" s="90"/>
      <c r="B180" s="54"/>
      <c r="C180" s="55">
        <f>C175+C176+C177+C178+C179</f>
        <v>299.28999999999996</v>
      </c>
      <c r="D180" s="56">
        <f>D175+D176+D177+D178+D179</f>
        <v>299.28895704100046</v>
      </c>
      <c r="E180" s="57">
        <f t="shared" si="84"/>
        <v>1.0429589995055721E-3</v>
      </c>
      <c r="F180" s="55">
        <f>F175+F176+F177+F178+F179</f>
        <v>382.28000000000003</v>
      </c>
      <c r="G180" s="56">
        <f>G175+G176+G177+G178+G179</f>
        <v>382.27443298900005</v>
      </c>
      <c r="H180" s="57">
        <f t="shared" si="85"/>
        <v>5.567010999982358E-3</v>
      </c>
      <c r="I180" s="55">
        <f>I175+I176+I177+I178+I179</f>
        <v>59741</v>
      </c>
      <c r="J180" s="58">
        <f>J175+J176+J177+J178+J179</f>
        <v>59741</v>
      </c>
      <c r="K180" s="59">
        <f t="shared" si="86"/>
        <v>0</v>
      </c>
      <c r="L180" s="55">
        <f>L175+L176+L177+L178+L179</f>
        <v>67753</v>
      </c>
      <c r="M180" s="58">
        <f>M175+M176+M177+M178+M179</f>
        <v>67753</v>
      </c>
      <c r="N180" s="59">
        <f t="shared" si="87"/>
        <v>0</v>
      </c>
    </row>
    <row r="181" spans="1:14" ht="14.5">
      <c r="A181" s="91"/>
      <c r="B181" s="46"/>
      <c r="C181" s="47"/>
      <c r="D181" s="48"/>
      <c r="E181" s="49"/>
      <c r="F181" s="47"/>
      <c r="G181" s="50"/>
      <c r="H181" s="49"/>
      <c r="I181" s="47"/>
      <c r="J181" s="51"/>
      <c r="K181" s="52"/>
      <c r="L181" s="47"/>
      <c r="M181" s="53"/>
      <c r="N181" s="52"/>
    </row>
    <row r="182" spans="1:14" s="40" customFormat="1">
      <c r="A182" s="90">
        <v>23</v>
      </c>
      <c r="B182" s="42" t="s">
        <v>42</v>
      </c>
      <c r="C182" s="47"/>
      <c r="D182" s="43"/>
      <c r="E182" s="60"/>
      <c r="F182" s="47"/>
      <c r="G182" s="43"/>
      <c r="H182" s="60"/>
      <c r="I182" s="47"/>
      <c r="J182" s="43"/>
      <c r="K182" s="61"/>
      <c r="L182" s="47"/>
      <c r="M182" s="43"/>
      <c r="N182" s="61"/>
    </row>
    <row r="183" spans="1:14" ht="15" customHeight="1">
      <c r="A183" s="91"/>
      <c r="B183" s="46" t="s">
        <v>3</v>
      </c>
      <c r="C183" s="47">
        <v>2.6</v>
      </c>
      <c r="D183" s="48">
        <v>2.6010642000000002</v>
      </c>
      <c r="E183" s="49">
        <f>C183-D183</f>
        <v>-1.0642000000000706E-3</v>
      </c>
      <c r="F183" s="47">
        <v>2.52</v>
      </c>
      <c r="G183" s="50">
        <v>2.5243091999999998</v>
      </c>
      <c r="H183" s="49">
        <f>F183-G183</f>
        <v>-4.309199999999791E-3</v>
      </c>
      <c r="I183" s="47">
        <v>86</v>
      </c>
      <c r="J183" s="51">
        <v>86</v>
      </c>
      <c r="K183" s="52">
        <f>I183-J183</f>
        <v>0</v>
      </c>
      <c r="L183" s="47">
        <v>84</v>
      </c>
      <c r="M183" s="53">
        <v>84</v>
      </c>
      <c r="N183" s="52">
        <f>L183-M183</f>
        <v>0</v>
      </c>
    </row>
    <row r="184" spans="1:14" s="77" customFormat="1" ht="14.5">
      <c r="A184" s="91"/>
      <c r="B184" s="46" t="s">
        <v>4</v>
      </c>
      <c r="C184" s="47">
        <v>459.37</v>
      </c>
      <c r="D184" s="48">
        <v>459.37112795116957</v>
      </c>
      <c r="E184" s="49">
        <f t="shared" ref="E184:E188" si="88">C184-D184</f>
        <v>-1.127951169564767E-3</v>
      </c>
      <c r="F184" s="47">
        <v>663.83</v>
      </c>
      <c r="G184" s="50">
        <v>663.83247687499988</v>
      </c>
      <c r="H184" s="49">
        <f t="shared" ref="H184:H188" si="89">F184-G184</f>
        <v>-2.4768749998429485E-3</v>
      </c>
      <c r="I184" s="47">
        <v>86636</v>
      </c>
      <c r="J184" s="51">
        <v>86636</v>
      </c>
      <c r="K184" s="52">
        <f t="shared" ref="K184:K188" si="90">I184-J184</f>
        <v>0</v>
      </c>
      <c r="L184" s="47">
        <v>103772</v>
      </c>
      <c r="M184" s="53">
        <v>103772</v>
      </c>
      <c r="N184" s="52">
        <f t="shared" ref="N184:N188" si="91">L184-M184</f>
        <v>0</v>
      </c>
    </row>
    <row r="185" spans="1:14" s="77" customFormat="1" ht="14.5">
      <c r="A185" s="91"/>
      <c r="B185" s="46" t="s">
        <v>5</v>
      </c>
      <c r="C185" s="47">
        <v>0.12</v>
      </c>
      <c r="D185" s="48">
        <v>0.11702687299999996</v>
      </c>
      <c r="E185" s="49">
        <f t="shared" si="88"/>
        <v>2.9731270000000337E-3</v>
      </c>
      <c r="F185" s="47">
        <v>0</v>
      </c>
      <c r="G185" s="50">
        <v>1.4611259999999992E-3</v>
      </c>
      <c r="H185" s="49">
        <f t="shared" si="89"/>
        <v>-1.4611259999999992E-3</v>
      </c>
      <c r="I185" s="47">
        <v>0</v>
      </c>
      <c r="J185" s="51">
        <v>0</v>
      </c>
      <c r="K185" s="52">
        <f t="shared" si="90"/>
        <v>0</v>
      </c>
      <c r="L185" s="47">
        <v>0</v>
      </c>
      <c r="M185" s="53">
        <v>0</v>
      </c>
      <c r="N185" s="52">
        <f t="shared" si="91"/>
        <v>0</v>
      </c>
    </row>
    <row r="186" spans="1:14" s="77" customFormat="1" ht="14.5">
      <c r="A186" s="91"/>
      <c r="B186" s="46" t="s">
        <v>6</v>
      </c>
      <c r="C186" s="47">
        <v>44.28</v>
      </c>
      <c r="D186" s="48">
        <v>45.898050184000006</v>
      </c>
      <c r="E186" s="49">
        <f t="shared" si="88"/>
        <v>-1.6180501840000048</v>
      </c>
      <c r="F186" s="47">
        <v>60.8</v>
      </c>
      <c r="G186" s="62">
        <v>60.803352126</v>
      </c>
      <c r="H186" s="49">
        <f t="shared" si="89"/>
        <v>-3.3521260000028974E-3</v>
      </c>
      <c r="I186" s="47">
        <v>55</v>
      </c>
      <c r="J186" s="51">
        <v>70</v>
      </c>
      <c r="K186" s="52">
        <f t="shared" si="90"/>
        <v>-15</v>
      </c>
      <c r="L186" s="47">
        <v>54</v>
      </c>
      <c r="M186" s="63">
        <v>54</v>
      </c>
      <c r="N186" s="52">
        <f t="shared" si="91"/>
        <v>0</v>
      </c>
    </row>
    <row r="187" spans="1:14" s="77" customFormat="1" ht="14.5">
      <c r="A187" s="91"/>
      <c r="B187" s="46" t="s">
        <v>25</v>
      </c>
      <c r="C187" s="47">
        <v>1.62</v>
      </c>
      <c r="D187" s="48">
        <v>0</v>
      </c>
      <c r="E187" s="49">
        <f t="shared" si="88"/>
        <v>1.62</v>
      </c>
      <c r="F187" s="47">
        <v>0.31</v>
      </c>
      <c r="G187" s="50">
        <v>0.31474826900000002</v>
      </c>
      <c r="H187" s="49">
        <f t="shared" si="89"/>
        <v>-4.7482690000000272E-3</v>
      </c>
      <c r="I187" s="47">
        <v>15</v>
      </c>
      <c r="J187" s="51">
        <v>0</v>
      </c>
      <c r="K187" s="52">
        <f t="shared" si="90"/>
        <v>15</v>
      </c>
      <c r="L187" s="47">
        <v>7</v>
      </c>
      <c r="M187" s="53">
        <v>7</v>
      </c>
      <c r="N187" s="52">
        <f t="shared" si="91"/>
        <v>0</v>
      </c>
    </row>
    <row r="188" spans="1:14" s="74" customFormat="1">
      <c r="A188" s="90"/>
      <c r="B188" s="54"/>
      <c r="C188" s="55">
        <f>C183+C184+C185+C186+C187</f>
        <v>507.99</v>
      </c>
      <c r="D188" s="56">
        <f>D183+D184+D185+D186+D187</f>
        <v>507.98726920816955</v>
      </c>
      <c r="E188" s="57">
        <f t="shared" si="88"/>
        <v>2.7307918304586565E-3</v>
      </c>
      <c r="F188" s="55">
        <f>F183+F184+F185+F186+F187</f>
        <v>727.45999999999992</v>
      </c>
      <c r="G188" s="56">
        <f>G183+G184+G185+G186+G187</f>
        <v>727.47634759599987</v>
      </c>
      <c r="H188" s="57">
        <f t="shared" si="89"/>
        <v>-1.6347595999945952E-2</v>
      </c>
      <c r="I188" s="55">
        <f>I183+I184+I185+I186+I187</f>
        <v>86792</v>
      </c>
      <c r="J188" s="58">
        <f>J183+J184+J185+J186+J187</f>
        <v>86792</v>
      </c>
      <c r="K188" s="59">
        <f t="shared" si="90"/>
        <v>0</v>
      </c>
      <c r="L188" s="55">
        <f>L183+L184+L185+L186+L187</f>
        <v>103917</v>
      </c>
      <c r="M188" s="58">
        <f>M183+M184+M185+M186+M187</f>
        <v>103917</v>
      </c>
      <c r="N188" s="59">
        <f t="shared" si="91"/>
        <v>0</v>
      </c>
    </row>
    <row r="189" spans="1:14" s="77" customFormat="1" ht="14.5">
      <c r="A189" s="91"/>
      <c r="B189" s="46"/>
      <c r="C189" s="47"/>
      <c r="D189" s="48"/>
      <c r="E189" s="49"/>
      <c r="F189" s="47"/>
      <c r="G189" s="50"/>
      <c r="H189" s="49"/>
      <c r="I189" s="47"/>
      <c r="J189" s="51"/>
      <c r="K189" s="52"/>
      <c r="L189" s="47"/>
      <c r="M189" s="53"/>
      <c r="N189" s="52"/>
    </row>
    <row r="190" spans="1:14" s="74" customFormat="1">
      <c r="A190" s="54"/>
      <c r="B190" s="42" t="s">
        <v>10</v>
      </c>
      <c r="C190" s="47"/>
      <c r="D190" s="43"/>
      <c r="E190" s="60"/>
      <c r="F190" s="47"/>
      <c r="G190" s="43"/>
      <c r="H190" s="60"/>
      <c r="I190" s="47"/>
      <c r="J190" s="43"/>
      <c r="K190" s="61"/>
      <c r="L190" s="47"/>
      <c r="M190" s="43"/>
      <c r="N190" s="61"/>
    </row>
    <row r="191" spans="1:14" ht="14.5">
      <c r="A191" s="46"/>
      <c r="B191" s="46" t="s">
        <v>3</v>
      </c>
      <c r="C191" s="92">
        <f>C7+C15+C23+C31+C39+C47+C55+C63+C71+C79+C87+C95+C103+C111+C119+C127+C135+C143+C151+C159+C167+C175+C183</f>
        <v>2099.4699999999993</v>
      </c>
      <c r="D191" s="92">
        <f>D7+D15+D23+D31+D39+D47+D55+D63+D71+D79+D87+D95+D103+D111+D119+D127+D135+D143+D151+D159+D167+D175+D183</f>
        <v>2099.482296857911</v>
      </c>
      <c r="E191" s="49">
        <f>C191-D191</f>
        <v>-1.2296857911678671E-2</v>
      </c>
      <c r="F191" s="92">
        <f>F7+F15+F23+F31+F39+F47+F55+F63+F71+F79+F87+F95+F103+F111+F119+F127+F135+F143+F151+F159+F167+F175+F183</f>
        <v>2548.0100000000007</v>
      </c>
      <c r="G191" s="92">
        <f>G7+G15+G23+G31+G39+G47+G55+G63+G71+G79+G87+G95+G103+G111+G119+G127+G135+G143+G151+G159+G167+G175+G183</f>
        <v>2547.9452350367915</v>
      </c>
      <c r="H191" s="49">
        <f>F191-G191</f>
        <v>6.4764963209199777E-2</v>
      </c>
      <c r="I191" s="93">
        <f>I7+I15+I23+I31+I39+I47+I55+I63+I71+I79+I87+I95+I103+I111+I119+I127+I135+I143+I151+I159+I167+I175+I183</f>
        <v>218649</v>
      </c>
      <c r="J191" s="93">
        <f>J7+J15+J23+J31+J39+J47+J55+J63+J71+J79+J87+J95+J103+J111+J119+J127+J135+J143+J151+J159+J167+J175+J183</f>
        <v>218649</v>
      </c>
      <c r="K191" s="52">
        <f>I191-J191</f>
        <v>0</v>
      </c>
      <c r="L191" s="93">
        <f>L7+L15+L23+L31+L39+L47+L55+L63+L71+L79+L87+L95+L103+L111+L119+L127+L135+L143+L151+L159+L167+L175+L183</f>
        <v>111816</v>
      </c>
      <c r="M191" s="93">
        <f>M7+M15+M23+M31+M39+M47+M55+M63+M71+M79+M87+M95+M103+M111+M119+M127+M135+M143+M151+M159+M167+M175+M183</f>
        <v>111808</v>
      </c>
      <c r="N191" s="52">
        <f>L191-M191</f>
        <v>8</v>
      </c>
    </row>
    <row r="192" spans="1:14" ht="14.5">
      <c r="A192" s="46"/>
      <c r="B192" s="46" t="s">
        <v>4</v>
      </c>
      <c r="C192" s="92">
        <f t="shared" ref="C192:D192" si="92">C8+C16+C24+C32+C40+C48+C56+C64+C72+C80+C88+C96+C104+C112+C120+C128+C136+C144+C152+C160+C168+C176+C184</f>
        <v>14076.94</v>
      </c>
      <c r="D192" s="92">
        <f t="shared" si="92"/>
        <v>14076.921407537175</v>
      </c>
      <c r="E192" s="49">
        <f t="shared" ref="E192:E196" si="93">C192-D192</f>
        <v>1.8592462825836265E-2</v>
      </c>
      <c r="F192" s="92">
        <f t="shared" ref="F192:G192" si="94">F8+F16+F24+F32+F40+F48+F56+F64+F72+F80+F88+F96+F104+F112+F120+F128+F136+F144+F152+F160+F168+F176+F184</f>
        <v>19049.410000000003</v>
      </c>
      <c r="G192" s="92">
        <f t="shared" si="94"/>
        <v>19050.063776368137</v>
      </c>
      <c r="H192" s="49">
        <f t="shared" ref="H192:H196" si="95">F192-G192</f>
        <v>-0.65377636813354911</v>
      </c>
      <c r="I192" s="93">
        <f t="shared" ref="I192:J192" si="96">I8+I16+I24+I32+I40+I48+I56+I64+I72+I80+I88+I96+I104+I112+I120+I128+I136+I144+I152+I160+I168+I176+I184</f>
        <v>3161443</v>
      </c>
      <c r="J192" s="93">
        <f t="shared" si="96"/>
        <v>3161440</v>
      </c>
      <c r="K192" s="52">
        <f t="shared" ref="K192:K196" si="97">I192-J192</f>
        <v>3</v>
      </c>
      <c r="L192" s="93">
        <f t="shared" ref="L192:M192" si="98">L8+L16+L24+L32+L40+L48+L56+L64+L72+L80+L88+L96+L104+L112+L120+L128+L136+L144+L152+L160+L168+L176+L184</f>
        <v>3713563</v>
      </c>
      <c r="M192" s="93">
        <f t="shared" si="98"/>
        <v>3713558</v>
      </c>
      <c r="N192" s="52">
        <f t="shared" ref="N192:N196" si="99">L192-M192</f>
        <v>5</v>
      </c>
    </row>
    <row r="193" spans="1:14" ht="14.5">
      <c r="A193" s="46"/>
      <c r="B193" s="46" t="s">
        <v>5</v>
      </c>
      <c r="C193" s="92">
        <f t="shared" ref="C193:D193" si="100">C9+C17+C25+C33+C41+C49+C57+C65+C73+C81+C89+C97+C105+C113+C121+C129+C137+C145+C153+C161+C169+C177+C185</f>
        <v>8296.8700000000008</v>
      </c>
      <c r="D193" s="92">
        <f t="shared" si="100"/>
        <v>9080.3430562365211</v>
      </c>
      <c r="E193" s="49">
        <f t="shared" si="93"/>
        <v>-783.47305623652028</v>
      </c>
      <c r="F193" s="92">
        <f t="shared" ref="F193:G193" si="101">F9+F17+F25+F33+F41+F49+F57+F65+F73+F81+F89+F97+F105+F113+F121+F129+F137+F145+F153+F161+F169+F177+F185</f>
        <v>8793.6999999999989</v>
      </c>
      <c r="G193" s="92">
        <f t="shared" si="101"/>
        <v>8793.692373366428</v>
      </c>
      <c r="H193" s="49">
        <f t="shared" si="95"/>
        <v>7.6266335709078703E-3</v>
      </c>
      <c r="I193" s="93">
        <f t="shared" ref="I193:J193" si="102">I9+I17+I25+I33+I41+I49+I57+I65+I73+I81+I89+I97+I105+I113+I121+I129+I137+I145+I153+I161+I169+I177+I185</f>
        <v>394</v>
      </c>
      <c r="J193" s="93">
        <f t="shared" si="102"/>
        <v>1607</v>
      </c>
      <c r="K193" s="52">
        <f t="shared" si="97"/>
        <v>-1213</v>
      </c>
      <c r="L193" s="93">
        <f t="shared" ref="L193:M193" si="103">L9+L17+L25+L33+L41+L49+L57+L65+L73+L81+L89+L97+L105+L113+L121+L129+L137+L145+L153+L161+L169+L177+L185</f>
        <v>549</v>
      </c>
      <c r="M193" s="93">
        <f t="shared" si="103"/>
        <v>549</v>
      </c>
      <c r="N193" s="52">
        <f t="shared" si="99"/>
        <v>0</v>
      </c>
    </row>
    <row r="194" spans="1:14" ht="14.5">
      <c r="A194" s="46"/>
      <c r="B194" s="46" t="s">
        <v>6</v>
      </c>
      <c r="C194" s="92">
        <f t="shared" ref="C194:D194" si="104">C10+C18+C26+C34+C42+C50+C58+C66+C74+C82+C90+C98+C106+C114+C122+C130+C138+C146+C154+C162+C170+C178+C186</f>
        <v>1724.6199999999997</v>
      </c>
      <c r="D194" s="92">
        <f t="shared" si="104"/>
        <v>2884.7654143757031</v>
      </c>
      <c r="E194" s="49">
        <f t="shared" si="93"/>
        <v>-1160.1454143757035</v>
      </c>
      <c r="F194" s="92">
        <f t="shared" ref="F194:G194" si="105">F10+F18+F26+F34+F42+F50+F58+F66+F74+F82+F90+F98+F106+F114+F122+F130+F138+F146+F154+F162+F170+F178+F186</f>
        <v>398.84000000000003</v>
      </c>
      <c r="G194" s="92">
        <f t="shared" si="105"/>
        <v>398.85832762566952</v>
      </c>
      <c r="H194" s="49">
        <f t="shared" si="95"/>
        <v>-1.8327625669485315E-2</v>
      </c>
      <c r="I194" s="93">
        <f t="shared" ref="I194:J194" si="106">I10+I18+I26+I34+I42+I50+I58+I66+I74+I82+I90+I98+I106+I114+I122+I130+I138+I146+I154+I162+I170+I178+I186</f>
        <v>428</v>
      </c>
      <c r="J194" s="93">
        <f t="shared" si="106"/>
        <v>2364</v>
      </c>
      <c r="K194" s="52">
        <f t="shared" si="97"/>
        <v>-1936</v>
      </c>
      <c r="L194" s="93">
        <f t="shared" ref="L194:M194" si="107">L10+L18+L26+L34+L42+L50+L58+L66+L74+L82+L90+L98+L106+L114+L122+L130+L138+L146+L154+L162+L170+L178+L186</f>
        <v>375</v>
      </c>
      <c r="M194" s="93">
        <f t="shared" si="107"/>
        <v>375</v>
      </c>
      <c r="N194" s="52">
        <f t="shared" si="99"/>
        <v>0</v>
      </c>
    </row>
    <row r="195" spans="1:14" ht="14.5">
      <c r="A195" s="46"/>
      <c r="B195" s="46" t="s">
        <v>25</v>
      </c>
      <c r="C195" s="92">
        <f t="shared" ref="C195:D195" si="108">C11+C19+C27+C35+C43+C51+C59+C67+C75+C83+C91+C99+C107+C115+C123+C131+C139+C147+C155+C163+C171+C179+C187</f>
        <v>1672.3999999999999</v>
      </c>
      <c r="D195" s="92">
        <f t="shared" si="108"/>
        <v>0</v>
      </c>
      <c r="E195" s="49">
        <f t="shared" si="93"/>
        <v>1672.3999999999999</v>
      </c>
      <c r="F195" s="92">
        <f t="shared" ref="F195:G195" si="109">F11+F19+F27+F35+F43+F51+F59+F67+F75+F83+F91+F99+F107+F115+F123+F131+F139+F147+F155+F163+F171+F179+F187</f>
        <v>1831.79</v>
      </c>
      <c r="G195" s="92">
        <f t="shared" si="109"/>
        <v>1831.7746631856198</v>
      </c>
      <c r="H195" s="49">
        <f t="shared" si="95"/>
        <v>1.5336814380134456E-2</v>
      </c>
      <c r="I195" s="93">
        <f t="shared" ref="I195:J195" si="110">I11+I19+I27+I35+I43+I51+I59+I67+I75+I83+I91+I99+I107+I115+I123+I131+I139+I147+I155+I163+I171+I179+I187</f>
        <v>2205</v>
      </c>
      <c r="J195" s="93">
        <f t="shared" si="110"/>
        <v>0</v>
      </c>
      <c r="K195" s="52">
        <f t="shared" si="97"/>
        <v>2205</v>
      </c>
      <c r="L195" s="93">
        <f t="shared" ref="L195:M195" si="111">L11+L19+L27+L35+L43+L51+L59+L67+L75+L83+L91+L99+L107+L115+L123+L131+L139+L147+L155+L163+L171+L179+L187</f>
        <v>3504</v>
      </c>
      <c r="M195" s="93">
        <f t="shared" si="111"/>
        <v>3504</v>
      </c>
      <c r="N195" s="52">
        <f t="shared" si="99"/>
        <v>0</v>
      </c>
    </row>
    <row r="196" spans="1:14" s="40" customFormat="1">
      <c r="A196" s="54"/>
      <c r="B196" s="54"/>
      <c r="C196" s="55">
        <f>C191+C192+C193+C194+C195</f>
        <v>27870.3</v>
      </c>
      <c r="D196" s="56">
        <f>D191+D192+D193+D194+D195</f>
        <v>28141.512175007309</v>
      </c>
      <c r="E196" s="57">
        <f t="shared" si="93"/>
        <v>-271.21217500730927</v>
      </c>
      <c r="F196" s="55">
        <f>F191+F192+F193+F194+F195</f>
        <v>32621.750000000004</v>
      </c>
      <c r="G196" s="56">
        <f>G191+G192+G193+G194+G195</f>
        <v>32622.334375582643</v>
      </c>
      <c r="H196" s="57">
        <f t="shared" si="95"/>
        <v>-0.58437558263904066</v>
      </c>
      <c r="I196" s="55">
        <f>I191+I192+I193+I194+I195</f>
        <v>3383119</v>
      </c>
      <c r="J196" s="58">
        <f>J191+J192+J193+J194+J195</f>
        <v>3384060</v>
      </c>
      <c r="K196" s="59">
        <f t="shared" si="97"/>
        <v>-941</v>
      </c>
      <c r="L196" s="55">
        <f>L191+L192+L193+L194+L195</f>
        <v>3829807</v>
      </c>
      <c r="M196" s="58">
        <f>M191+M192+M193+M194+M195</f>
        <v>3829794</v>
      </c>
      <c r="N196" s="59">
        <f t="shared" si="99"/>
        <v>13</v>
      </c>
    </row>
    <row r="197" spans="1:14" ht="14.5">
      <c r="A197" s="46"/>
      <c r="B197" s="46"/>
      <c r="C197" s="47"/>
      <c r="D197" s="72"/>
      <c r="E197" s="85"/>
      <c r="F197" s="47"/>
      <c r="G197" s="50"/>
      <c r="H197" s="85"/>
      <c r="I197" s="47"/>
      <c r="J197" s="73"/>
      <c r="K197" s="86"/>
      <c r="L197" s="47"/>
      <c r="M197" s="53"/>
      <c r="N197" s="86"/>
    </row>
    <row r="198" spans="1:14" s="40" customFormat="1">
      <c r="A198" s="41">
        <v>24</v>
      </c>
      <c r="B198" s="42" t="s">
        <v>1</v>
      </c>
      <c r="C198" s="47"/>
      <c r="D198" s="43"/>
      <c r="E198" s="60"/>
      <c r="F198" s="47"/>
      <c r="G198" s="43"/>
      <c r="H198" s="60"/>
      <c r="I198" s="47"/>
      <c r="J198" s="43"/>
      <c r="K198" s="61"/>
      <c r="L198" s="47"/>
      <c r="M198" s="43"/>
      <c r="N198" s="61"/>
    </row>
    <row r="199" spans="1:14" ht="14.5">
      <c r="A199" s="46"/>
      <c r="B199" s="46" t="s">
        <v>3</v>
      </c>
      <c r="C199" s="47">
        <v>17254.310000000001</v>
      </c>
      <c r="D199" s="48">
        <v>17254.310500000003</v>
      </c>
      <c r="E199" s="49">
        <f>C199-D199</f>
        <v>-5.0000000192085281E-4</v>
      </c>
      <c r="F199" s="47">
        <v>19679.86</v>
      </c>
      <c r="G199" s="50">
        <v>19679.857604500001</v>
      </c>
      <c r="H199" s="49">
        <f>F199-G199</f>
        <v>2.3954999996931292E-3</v>
      </c>
      <c r="I199" s="47">
        <v>778671</v>
      </c>
      <c r="J199" s="73">
        <v>778671</v>
      </c>
      <c r="K199" s="52">
        <f>I199-J199</f>
        <v>0</v>
      </c>
      <c r="L199" s="47">
        <v>779922</v>
      </c>
      <c r="M199" s="53">
        <v>779922</v>
      </c>
      <c r="N199" s="52">
        <f>L199-M199</f>
        <v>0</v>
      </c>
    </row>
    <row r="200" spans="1:14" ht="14.5">
      <c r="A200" s="46"/>
      <c r="B200" s="46" t="s">
        <v>4</v>
      </c>
      <c r="C200" s="47">
        <v>11841.89</v>
      </c>
      <c r="D200" s="48">
        <v>11841.886499999999</v>
      </c>
      <c r="E200" s="49">
        <f t="shared" ref="E200:E204" si="112">C200-D200</f>
        <v>3.5000000007130438E-3</v>
      </c>
      <c r="F200" s="47">
        <v>13830.67</v>
      </c>
      <c r="G200" s="50">
        <v>13830.665476499998</v>
      </c>
      <c r="H200" s="49">
        <f t="shared" ref="H200:H204" si="113">F200-G200</f>
        <v>4.5235000015964033E-3</v>
      </c>
      <c r="I200" s="47">
        <v>9619908</v>
      </c>
      <c r="J200" s="73">
        <v>9619908</v>
      </c>
      <c r="K200" s="52">
        <f t="shared" ref="K200:K204" si="114">I200-J200</f>
        <v>0</v>
      </c>
      <c r="L200" s="47">
        <v>10441497</v>
      </c>
      <c r="M200" s="53">
        <v>10441497</v>
      </c>
      <c r="N200" s="52">
        <f t="shared" ref="N200:N204" si="115">L200-M200</f>
        <v>0</v>
      </c>
    </row>
    <row r="201" spans="1:14" ht="14.5">
      <c r="A201" s="46"/>
      <c r="B201" s="46" t="s">
        <v>5</v>
      </c>
      <c r="C201" s="47">
        <v>43158.07</v>
      </c>
      <c r="D201" s="48">
        <v>43158.069747804999</v>
      </c>
      <c r="E201" s="49">
        <f t="shared" si="112"/>
        <v>2.5219500093953684E-4</v>
      </c>
      <c r="F201" s="47">
        <v>54772.01</v>
      </c>
      <c r="G201" s="50">
        <v>54772.006939040999</v>
      </c>
      <c r="H201" s="49">
        <f t="shared" si="113"/>
        <v>3.0609590030508116E-3</v>
      </c>
      <c r="I201" s="47">
        <v>413</v>
      </c>
      <c r="J201" s="73">
        <v>413</v>
      </c>
      <c r="K201" s="52">
        <f t="shared" si="114"/>
        <v>0</v>
      </c>
      <c r="L201" s="47">
        <v>457</v>
      </c>
      <c r="M201" s="53">
        <v>457</v>
      </c>
      <c r="N201" s="52">
        <f t="shared" si="115"/>
        <v>0</v>
      </c>
    </row>
    <row r="202" spans="1:14" ht="14.5">
      <c r="A202" s="46"/>
      <c r="B202" s="46" t="s">
        <v>6</v>
      </c>
      <c r="C202" s="47">
        <v>2699.45</v>
      </c>
      <c r="D202" s="48">
        <v>3008.8186554510003</v>
      </c>
      <c r="E202" s="49">
        <f t="shared" si="112"/>
        <v>-309.36865545100045</v>
      </c>
      <c r="F202" s="47">
        <v>1509.21</v>
      </c>
      <c r="G202" s="50">
        <v>1509.2056919190002</v>
      </c>
      <c r="H202" s="49">
        <f t="shared" si="113"/>
        <v>4.3080809998627956E-3</v>
      </c>
      <c r="I202" s="47">
        <v>1839</v>
      </c>
      <c r="J202" s="73">
        <v>16210</v>
      </c>
      <c r="K202" s="52">
        <f t="shared" si="114"/>
        <v>-14371</v>
      </c>
      <c r="L202" s="47">
        <v>2045</v>
      </c>
      <c r="M202" s="53">
        <v>2045</v>
      </c>
      <c r="N202" s="52">
        <f t="shared" si="115"/>
        <v>0</v>
      </c>
    </row>
    <row r="203" spans="1:14" ht="14.5">
      <c r="A203" s="46"/>
      <c r="B203" s="46" t="s">
        <v>25</v>
      </c>
      <c r="C203" s="47">
        <v>309.37</v>
      </c>
      <c r="D203" s="48">
        <v>0</v>
      </c>
      <c r="E203" s="49">
        <f t="shared" si="112"/>
        <v>309.37</v>
      </c>
      <c r="F203" s="47">
        <v>522.52</v>
      </c>
      <c r="G203" s="50">
        <v>522.51923333599996</v>
      </c>
      <c r="H203" s="49">
        <f t="shared" si="113"/>
        <v>7.6666400002523005E-4</v>
      </c>
      <c r="I203" s="47">
        <v>14371</v>
      </c>
      <c r="J203" s="73">
        <v>0</v>
      </c>
      <c r="K203" s="52">
        <f t="shared" si="114"/>
        <v>14371</v>
      </c>
      <c r="L203" s="47">
        <v>14008</v>
      </c>
      <c r="M203" s="53">
        <v>14008</v>
      </c>
      <c r="N203" s="52">
        <f t="shared" si="115"/>
        <v>0</v>
      </c>
    </row>
    <row r="204" spans="1:14" s="40" customFormat="1">
      <c r="A204" s="54"/>
      <c r="B204" s="54"/>
      <c r="C204" s="55">
        <f>C199+C200+C201+C202+C203</f>
        <v>75263.09</v>
      </c>
      <c r="D204" s="56">
        <f>D199+D200+D201+D202+D203</f>
        <v>75263.085403256002</v>
      </c>
      <c r="E204" s="57">
        <f t="shared" si="112"/>
        <v>4.5967439946252853E-3</v>
      </c>
      <c r="F204" s="55">
        <f>F199+F200+F201+F202+F203</f>
        <v>90314.270000000019</v>
      </c>
      <c r="G204" s="56">
        <f>G199+G200+G201+G202+G203</f>
        <v>90314.254945296008</v>
      </c>
      <c r="H204" s="57">
        <f t="shared" si="113"/>
        <v>1.5054704010253772E-2</v>
      </c>
      <c r="I204" s="55">
        <f>I199+I200+I201+I202+I203</f>
        <v>10415202</v>
      </c>
      <c r="J204" s="58">
        <f>J199+J200+J201+J202+J203</f>
        <v>10415202</v>
      </c>
      <c r="K204" s="59">
        <f t="shared" si="114"/>
        <v>0</v>
      </c>
      <c r="L204" s="55">
        <f>L199+L200+L201+L202+L203</f>
        <v>11237929</v>
      </c>
      <c r="M204" s="58">
        <f>M199+M200+M201+M202+M203</f>
        <v>11237929</v>
      </c>
      <c r="N204" s="59">
        <f t="shared" si="115"/>
        <v>0</v>
      </c>
    </row>
    <row r="205" spans="1:14" ht="14.5">
      <c r="A205" s="46"/>
      <c r="B205" s="46"/>
      <c r="C205" s="47"/>
      <c r="D205" s="48"/>
      <c r="E205" s="49"/>
      <c r="F205" s="47"/>
      <c r="G205" s="50"/>
      <c r="H205" s="49"/>
      <c r="I205" s="47"/>
      <c r="J205" s="73"/>
      <c r="K205" s="52"/>
      <c r="L205" s="47"/>
      <c r="M205" s="53"/>
      <c r="N205" s="52"/>
    </row>
    <row r="206" spans="1:14" s="40" customFormat="1">
      <c r="A206" s="54"/>
      <c r="B206" s="42" t="s">
        <v>11</v>
      </c>
      <c r="C206" s="55"/>
      <c r="D206" s="43"/>
      <c r="E206" s="60"/>
      <c r="F206" s="55"/>
      <c r="G206" s="43"/>
      <c r="H206" s="60"/>
      <c r="I206" s="55"/>
      <c r="J206" s="43"/>
      <c r="K206" s="61"/>
      <c r="L206" s="55"/>
      <c r="M206" s="43"/>
      <c r="N206" s="61"/>
    </row>
    <row r="207" spans="1:14" ht="14.5">
      <c r="A207" s="46"/>
      <c r="B207" s="46" t="s">
        <v>3</v>
      </c>
      <c r="C207" s="72">
        <f>C191+C199</f>
        <v>19353.78</v>
      </c>
      <c r="D207" s="72">
        <f>D191+D199</f>
        <v>19353.792796857913</v>
      </c>
      <c r="E207" s="49">
        <f>C207-D207</f>
        <v>-1.2796857914509019E-2</v>
      </c>
      <c r="F207" s="72">
        <f>F191+F199</f>
        <v>22227.870000000003</v>
      </c>
      <c r="G207" s="72">
        <f>G191+G199</f>
        <v>22227.802839536791</v>
      </c>
      <c r="H207" s="49">
        <f>F207-G207</f>
        <v>6.7160463211621391E-2</v>
      </c>
      <c r="I207" s="73">
        <f>I191+I199</f>
        <v>997320</v>
      </c>
      <c r="J207" s="73">
        <f>J191+J199</f>
        <v>997320</v>
      </c>
      <c r="K207" s="52">
        <f>I207-J207</f>
        <v>0</v>
      </c>
      <c r="L207" s="73">
        <f>L191+L199</f>
        <v>891738</v>
      </c>
      <c r="M207" s="73">
        <f>M191+M199</f>
        <v>891730</v>
      </c>
      <c r="N207" s="52">
        <f>L207-M207</f>
        <v>8</v>
      </c>
    </row>
    <row r="208" spans="1:14" ht="14.5">
      <c r="A208" s="46"/>
      <c r="B208" s="46" t="s">
        <v>4</v>
      </c>
      <c r="C208" s="72">
        <f t="shared" ref="C208:D208" si="116">C192+C200</f>
        <v>25918.83</v>
      </c>
      <c r="D208" s="72">
        <f t="shared" si="116"/>
        <v>25918.807907537172</v>
      </c>
      <c r="E208" s="49">
        <f t="shared" ref="E208:E212" si="117">C208-D208</f>
        <v>2.2092462830187287E-2</v>
      </c>
      <c r="F208" s="72">
        <f t="shared" ref="F208:G208" si="118">F192+F200</f>
        <v>32880.080000000002</v>
      </c>
      <c r="G208" s="72">
        <f t="shared" si="118"/>
        <v>32880.729252868136</v>
      </c>
      <c r="H208" s="49">
        <f t="shared" ref="H208:H212" si="119">F208-G208</f>
        <v>-0.6492528681337717</v>
      </c>
      <c r="I208" s="73">
        <f t="shared" ref="I208:J208" si="120">I192+I200</f>
        <v>12781351</v>
      </c>
      <c r="J208" s="73">
        <f t="shared" si="120"/>
        <v>12781348</v>
      </c>
      <c r="K208" s="52">
        <f t="shared" ref="K208:K212" si="121">I208-J208</f>
        <v>3</v>
      </c>
      <c r="L208" s="73">
        <f t="shared" ref="L208:M208" si="122">L192+L200</f>
        <v>14155060</v>
      </c>
      <c r="M208" s="73">
        <f t="shared" si="122"/>
        <v>14155055</v>
      </c>
      <c r="N208" s="52">
        <f t="shared" ref="N208:N212" si="123">L208-M208</f>
        <v>5</v>
      </c>
    </row>
    <row r="209" spans="1:14" ht="14.5">
      <c r="A209" s="46"/>
      <c r="B209" s="46" t="s">
        <v>5</v>
      </c>
      <c r="C209" s="72">
        <f t="shared" ref="C209:D209" si="124">C193+C201</f>
        <v>51454.94</v>
      </c>
      <c r="D209" s="72">
        <f t="shared" si="124"/>
        <v>52238.412804041523</v>
      </c>
      <c r="E209" s="49">
        <f t="shared" si="117"/>
        <v>-783.47280404152116</v>
      </c>
      <c r="F209" s="72">
        <f t="shared" ref="F209:G209" si="125">F193+F201</f>
        <v>63565.71</v>
      </c>
      <c r="G209" s="72">
        <f t="shared" si="125"/>
        <v>63565.699312407429</v>
      </c>
      <c r="H209" s="49">
        <f t="shared" si="119"/>
        <v>1.0687592570320703E-2</v>
      </c>
      <c r="I209" s="73">
        <f t="shared" ref="I209:J209" si="126">I193+I201</f>
        <v>807</v>
      </c>
      <c r="J209" s="73">
        <f t="shared" si="126"/>
        <v>2020</v>
      </c>
      <c r="K209" s="52">
        <f t="shared" si="121"/>
        <v>-1213</v>
      </c>
      <c r="L209" s="73">
        <f t="shared" ref="L209:M209" si="127">L193+L201</f>
        <v>1006</v>
      </c>
      <c r="M209" s="73">
        <f t="shared" si="127"/>
        <v>1006</v>
      </c>
      <c r="N209" s="52">
        <f t="shared" si="123"/>
        <v>0</v>
      </c>
    </row>
    <row r="210" spans="1:14" ht="14.5">
      <c r="A210" s="46"/>
      <c r="B210" s="46" t="s">
        <v>6</v>
      </c>
      <c r="C210" s="72">
        <f t="shared" ref="C210:D210" si="128">C194+C202</f>
        <v>4424.07</v>
      </c>
      <c r="D210" s="72">
        <f t="shared" si="128"/>
        <v>5893.5840698267039</v>
      </c>
      <c r="E210" s="49">
        <f t="shared" si="117"/>
        <v>-1469.5140698267041</v>
      </c>
      <c r="F210" s="72">
        <f t="shared" ref="F210:G210" si="129">F194+F202</f>
        <v>1908.0500000000002</v>
      </c>
      <c r="G210" s="72">
        <f t="shared" si="129"/>
        <v>1908.0640195446697</v>
      </c>
      <c r="H210" s="49">
        <f t="shared" si="119"/>
        <v>-1.4019544669508832E-2</v>
      </c>
      <c r="I210" s="73">
        <f t="shared" ref="I210:J210" si="130">I194+I202</f>
        <v>2267</v>
      </c>
      <c r="J210" s="73">
        <f t="shared" si="130"/>
        <v>18574</v>
      </c>
      <c r="K210" s="52">
        <f t="shared" si="121"/>
        <v>-16307</v>
      </c>
      <c r="L210" s="73">
        <f t="shared" ref="L210:M210" si="131">L194+L202</f>
        <v>2420</v>
      </c>
      <c r="M210" s="73">
        <f t="shared" si="131"/>
        <v>2420</v>
      </c>
      <c r="N210" s="52">
        <f t="shared" si="123"/>
        <v>0</v>
      </c>
    </row>
    <row r="211" spans="1:14" ht="14.5">
      <c r="A211" s="46"/>
      <c r="B211" s="46" t="s">
        <v>25</v>
      </c>
      <c r="C211" s="72">
        <f t="shared" ref="C211:D211" si="132">C195+C203</f>
        <v>1981.77</v>
      </c>
      <c r="D211" s="72">
        <f t="shared" si="132"/>
        <v>0</v>
      </c>
      <c r="E211" s="49">
        <f t="shared" si="117"/>
        <v>1981.77</v>
      </c>
      <c r="F211" s="72">
        <f t="shared" ref="F211:G211" si="133">F195+F203</f>
        <v>2354.31</v>
      </c>
      <c r="G211" s="72">
        <f t="shared" si="133"/>
        <v>2354.2938965216199</v>
      </c>
      <c r="H211" s="49">
        <f t="shared" si="119"/>
        <v>1.6103478380045999E-2</v>
      </c>
      <c r="I211" s="73">
        <f t="shared" ref="I211:J211" si="134">I195+I203</f>
        <v>16576</v>
      </c>
      <c r="J211" s="73">
        <f t="shared" si="134"/>
        <v>0</v>
      </c>
      <c r="K211" s="52">
        <f t="shared" si="121"/>
        <v>16576</v>
      </c>
      <c r="L211" s="73">
        <f t="shared" ref="L211:M211" si="135">L195+L203</f>
        <v>17512</v>
      </c>
      <c r="M211" s="73">
        <f t="shared" si="135"/>
        <v>17512</v>
      </c>
      <c r="N211" s="52">
        <f t="shared" si="123"/>
        <v>0</v>
      </c>
    </row>
    <row r="212" spans="1:14" s="40" customFormat="1">
      <c r="A212" s="54"/>
      <c r="B212" s="54"/>
      <c r="C212" s="55">
        <f>C207+C208+C209+C210+C211</f>
        <v>103133.39</v>
      </c>
      <c r="D212" s="56">
        <f>D207+D208+D209+D210+D211</f>
        <v>103404.5975782633</v>
      </c>
      <c r="E212" s="57">
        <f t="shared" si="117"/>
        <v>-271.20757826330373</v>
      </c>
      <c r="F212" s="55">
        <f>F207+F208+F209+F210+F211</f>
        <v>122936.02</v>
      </c>
      <c r="G212" s="56">
        <f>G207+G208+G209+G210+G211</f>
        <v>122936.58932087866</v>
      </c>
      <c r="H212" s="57">
        <f t="shared" si="119"/>
        <v>-0.56932087865425274</v>
      </c>
      <c r="I212" s="55">
        <f>I207+I208+I209+I210+I211</f>
        <v>13798321</v>
      </c>
      <c r="J212" s="58">
        <f>J207+J208+J209+J210+J211</f>
        <v>13799262</v>
      </c>
      <c r="K212" s="59">
        <f t="shared" si="121"/>
        <v>-941</v>
      </c>
      <c r="L212" s="55">
        <f>L207+L208+L209+L210+L211</f>
        <v>15067736</v>
      </c>
      <c r="M212" s="58">
        <f>M207+M208+M209+M210+M211</f>
        <v>15067723</v>
      </c>
      <c r="N212" s="59">
        <f t="shared" si="123"/>
        <v>13</v>
      </c>
    </row>
    <row r="213" spans="1:14">
      <c r="A213" s="46"/>
      <c r="B213" s="46"/>
      <c r="C213" s="38"/>
      <c r="D213" s="50"/>
      <c r="E213" s="50"/>
      <c r="F213" s="38"/>
      <c r="G213" s="50"/>
      <c r="H213" s="50"/>
      <c r="I213" s="38"/>
      <c r="J213" s="53"/>
      <c r="K213" s="53"/>
      <c r="L213" s="38"/>
      <c r="M213" s="53"/>
      <c r="N213" s="38"/>
    </row>
    <row r="214" spans="1:14">
      <c r="A214" s="94"/>
      <c r="B214" s="94"/>
      <c r="C214" s="87"/>
      <c r="D214" s="95"/>
      <c r="E214" s="95"/>
      <c r="F214" s="87"/>
      <c r="G214" s="95"/>
      <c r="H214" s="95"/>
      <c r="I214" s="87"/>
      <c r="J214" s="96"/>
      <c r="K214" s="96"/>
      <c r="L214" s="87"/>
      <c r="M214" s="96"/>
    </row>
    <row r="215" spans="1:14">
      <c r="A215" s="97" t="s">
        <v>24</v>
      </c>
      <c r="M215" s="77"/>
    </row>
    <row r="216" spans="1:14">
      <c r="A216" s="97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86"/>
  <sheetViews>
    <sheetView tabSelected="1" zoomScaleSheetLayoutView="70" workbookViewId="0">
      <selection activeCell="B2" sqref="B2:B3"/>
    </sheetView>
  </sheetViews>
  <sheetFormatPr defaultColWidth="9.1796875" defaultRowHeight="12.5"/>
  <cols>
    <col min="1" max="1" width="6.453125" style="23" customWidth="1"/>
    <col min="2" max="2" width="30" style="23" customWidth="1"/>
    <col min="3" max="3" width="11.7265625" style="23" customWidth="1"/>
    <col min="4" max="4" width="10.1796875" style="23" customWidth="1"/>
    <col min="5" max="5" width="12.7265625" style="23" customWidth="1"/>
    <col min="6" max="9" width="11.7265625" style="23" customWidth="1"/>
    <col min="10" max="10" width="8" style="23" customWidth="1"/>
    <col min="11" max="23" width="11.7265625" style="23" customWidth="1"/>
    <col min="24" max="25" width="14.7265625" style="23" customWidth="1"/>
    <col min="26" max="26" width="12.7265625" style="23" bestFit="1" customWidth="1"/>
    <col min="27" max="28" width="12.7265625" style="23" customWidth="1"/>
    <col min="29" max="30" width="11.7265625" style="23" customWidth="1"/>
    <col min="31" max="16384" width="9.1796875" style="23"/>
  </cols>
  <sheetData>
    <row r="1" spans="1:30" ht="26.25" customHeight="1">
      <c r="A1" s="119"/>
      <c r="B1" s="152" t="s">
        <v>68</v>
      </c>
      <c r="C1" s="152"/>
      <c r="D1" s="152"/>
      <c r="E1" s="152"/>
      <c r="F1" s="152"/>
      <c r="G1" s="152"/>
      <c r="H1" s="152"/>
      <c r="I1" s="152"/>
      <c r="J1" s="120"/>
      <c r="K1" s="120"/>
      <c r="L1" s="120"/>
      <c r="M1" s="120"/>
      <c r="N1" s="120"/>
      <c r="O1" s="120"/>
      <c r="P1" s="120"/>
      <c r="Q1" s="120"/>
      <c r="R1" s="149" t="s">
        <v>56</v>
      </c>
      <c r="S1" s="149"/>
      <c r="T1" s="149"/>
      <c r="U1" s="149"/>
      <c r="V1" s="149"/>
      <c r="W1" s="149"/>
      <c r="Y1" s="149" t="s">
        <v>56</v>
      </c>
      <c r="Z1" s="149"/>
      <c r="AA1" s="149"/>
      <c r="AB1" s="149"/>
      <c r="AC1" s="149"/>
      <c r="AD1" s="149"/>
    </row>
    <row r="2" spans="1:30" ht="41.25" customHeight="1">
      <c r="A2" s="150" t="s">
        <v>2</v>
      </c>
      <c r="B2" s="150" t="s">
        <v>0</v>
      </c>
      <c r="C2" s="150" t="s">
        <v>15</v>
      </c>
      <c r="D2" s="150"/>
      <c r="E2" s="150"/>
      <c r="F2" s="150"/>
      <c r="G2" s="150"/>
      <c r="H2" s="150"/>
      <c r="I2" s="150"/>
      <c r="J2" s="150" t="s">
        <v>8</v>
      </c>
      <c r="K2" s="150"/>
      <c r="L2" s="150"/>
      <c r="M2" s="150"/>
      <c r="N2" s="150"/>
      <c r="O2" s="150"/>
      <c r="P2" s="150"/>
      <c r="Q2" s="151" t="s">
        <v>9</v>
      </c>
      <c r="R2" s="151"/>
      <c r="S2" s="151"/>
      <c r="T2" s="151"/>
      <c r="U2" s="151"/>
      <c r="V2" s="151"/>
      <c r="W2" s="151"/>
      <c r="X2" s="151" t="s">
        <v>55</v>
      </c>
      <c r="Y2" s="151"/>
      <c r="Z2" s="151"/>
      <c r="AA2" s="151"/>
      <c r="AB2" s="151"/>
      <c r="AC2" s="151"/>
      <c r="AD2" s="151"/>
    </row>
    <row r="3" spans="1:30" s="24" customFormat="1" ht="39.75" customHeight="1">
      <c r="A3" s="150"/>
      <c r="B3" s="150"/>
      <c r="C3" s="121" t="s">
        <v>62</v>
      </c>
      <c r="D3" s="121" t="s">
        <v>63</v>
      </c>
      <c r="E3" s="103" t="s">
        <v>23</v>
      </c>
      <c r="F3" s="122" t="s">
        <v>64</v>
      </c>
      <c r="G3" s="122" t="s">
        <v>65</v>
      </c>
      <c r="H3" s="103" t="s">
        <v>23</v>
      </c>
      <c r="I3" s="103" t="s">
        <v>54</v>
      </c>
      <c r="J3" s="121" t="s">
        <v>62</v>
      </c>
      <c r="K3" s="121" t="s">
        <v>63</v>
      </c>
      <c r="L3" s="103" t="s">
        <v>23</v>
      </c>
      <c r="M3" s="122" t="s">
        <v>64</v>
      </c>
      <c r="N3" s="122" t="s">
        <v>65</v>
      </c>
      <c r="O3" s="103" t="s">
        <v>23</v>
      </c>
      <c r="P3" s="103" t="s">
        <v>54</v>
      </c>
      <c r="Q3" s="121" t="s">
        <v>62</v>
      </c>
      <c r="R3" s="121" t="s">
        <v>63</v>
      </c>
      <c r="S3" s="103" t="s">
        <v>23</v>
      </c>
      <c r="T3" s="122" t="s">
        <v>64</v>
      </c>
      <c r="U3" s="122" t="s">
        <v>65</v>
      </c>
      <c r="V3" s="103" t="s">
        <v>23</v>
      </c>
      <c r="W3" s="103" t="s">
        <v>54</v>
      </c>
      <c r="X3" s="121" t="s">
        <v>62</v>
      </c>
      <c r="Y3" s="121" t="s">
        <v>63</v>
      </c>
      <c r="Z3" s="103" t="s">
        <v>23</v>
      </c>
      <c r="AA3" s="122" t="s">
        <v>64</v>
      </c>
      <c r="AB3" s="122" t="s">
        <v>65</v>
      </c>
      <c r="AC3" s="103" t="s">
        <v>23</v>
      </c>
      <c r="AD3" s="103" t="s">
        <v>54</v>
      </c>
    </row>
    <row r="4" spans="1:30" s="24" customFormat="1" ht="15.5">
      <c r="A4" s="16">
        <v>1</v>
      </c>
      <c r="B4" s="105" t="s">
        <v>46</v>
      </c>
      <c r="C4" s="123">
        <v>340.78697871869315</v>
      </c>
      <c r="D4" s="123">
        <v>394.4689752225716</v>
      </c>
      <c r="E4" s="124">
        <v>15.752361403512111</v>
      </c>
      <c r="F4" s="123">
        <v>670.4059563717932</v>
      </c>
      <c r="G4" s="123">
        <v>1333.9307751515812</v>
      </c>
      <c r="H4" s="124">
        <v>98.973586447643513</v>
      </c>
      <c r="I4" s="125">
        <v>1.8105725216427868</v>
      </c>
      <c r="J4" s="126">
        <v>21091</v>
      </c>
      <c r="K4" s="126">
        <v>18525</v>
      </c>
      <c r="L4" s="124">
        <v>-12.166326869280736</v>
      </c>
      <c r="M4" s="126">
        <v>40191</v>
      </c>
      <c r="N4" s="126">
        <v>43691</v>
      </c>
      <c r="O4" s="124">
        <v>8.7084173073573687</v>
      </c>
      <c r="P4" s="125">
        <v>0.83963364445893873</v>
      </c>
      <c r="Q4" s="126">
        <v>79768</v>
      </c>
      <c r="R4" s="126">
        <v>405612</v>
      </c>
      <c r="S4" s="124">
        <v>408.48961989770334</v>
      </c>
      <c r="T4" s="126">
        <v>275394</v>
      </c>
      <c r="U4" s="126">
        <v>948775</v>
      </c>
      <c r="V4" s="124">
        <v>244.51549416472398</v>
      </c>
      <c r="W4" s="125">
        <v>2.0001121087317251</v>
      </c>
      <c r="X4" s="123">
        <v>13334.054748167</v>
      </c>
      <c r="Y4" s="123">
        <v>26272.874156733997</v>
      </c>
      <c r="Z4" s="124">
        <v>97.035895329180832</v>
      </c>
      <c r="AA4" s="123">
        <v>33964.106148589999</v>
      </c>
      <c r="AB4" s="123">
        <v>62053.836796941003</v>
      </c>
      <c r="AC4" s="124">
        <v>82.704165760938579</v>
      </c>
      <c r="AD4" s="125">
        <v>4.4348424222620739</v>
      </c>
    </row>
    <row r="5" spans="1:30" ht="13">
      <c r="A5" s="5"/>
      <c r="B5" s="106" t="s">
        <v>3</v>
      </c>
      <c r="C5" s="127">
        <v>27.475612151946599</v>
      </c>
      <c r="D5" s="127">
        <v>15.576615039369051</v>
      </c>
      <c r="E5" s="128">
        <v>-43.307486824218131</v>
      </c>
      <c r="F5" s="127">
        <v>48.622572087613605</v>
      </c>
      <c r="G5" s="127">
        <v>45.032374084083749</v>
      </c>
      <c r="H5" s="128">
        <v>-7.3838093078676197</v>
      </c>
      <c r="I5" s="129">
        <v>0.54733931614784792</v>
      </c>
      <c r="J5" s="130">
        <v>139</v>
      </c>
      <c r="K5" s="130">
        <v>215</v>
      </c>
      <c r="L5" s="128">
        <v>54.676258992805757</v>
      </c>
      <c r="M5" s="130">
        <v>353</v>
      </c>
      <c r="N5" s="130">
        <v>618</v>
      </c>
      <c r="O5" s="128">
        <v>75.070821529745047</v>
      </c>
      <c r="P5" s="129">
        <v>0.24714661633087254</v>
      </c>
      <c r="Q5" s="131">
        <v>0</v>
      </c>
      <c r="R5" s="131">
        <v>0</v>
      </c>
      <c r="S5" s="104" t="s">
        <v>57</v>
      </c>
      <c r="T5" s="130">
        <v>0</v>
      </c>
      <c r="U5" s="130">
        <v>0</v>
      </c>
      <c r="V5" s="104" t="s">
        <v>57</v>
      </c>
      <c r="W5" s="104" t="s">
        <v>57</v>
      </c>
      <c r="X5" s="127">
        <v>11.02817636599997</v>
      </c>
      <c r="Y5" s="127">
        <v>18.838308615999999</v>
      </c>
      <c r="Z5" s="128">
        <v>70.819798222295233</v>
      </c>
      <c r="AA5" s="127">
        <v>36.31528249699997</v>
      </c>
      <c r="AB5" s="127">
        <v>56.118853815999998</v>
      </c>
      <c r="AC5" s="128">
        <v>54.532334481043932</v>
      </c>
      <c r="AD5" s="129">
        <v>0.73859008976033913</v>
      </c>
    </row>
    <row r="6" spans="1:30" ht="13">
      <c r="A6" s="5"/>
      <c r="B6" s="106" t="s">
        <v>4</v>
      </c>
      <c r="C6" s="127">
        <v>174.3363565667465</v>
      </c>
      <c r="D6" s="127">
        <v>169.88178247519554</v>
      </c>
      <c r="E6" s="128">
        <v>-2.5551607130469578</v>
      </c>
      <c r="F6" s="127">
        <v>320.38907907917957</v>
      </c>
      <c r="G6" s="127">
        <v>404.36544746149093</v>
      </c>
      <c r="H6" s="128">
        <v>26.210746203854786</v>
      </c>
      <c r="I6" s="129">
        <v>2.4265768965131591</v>
      </c>
      <c r="J6" s="130">
        <v>20941</v>
      </c>
      <c r="K6" s="130">
        <v>18268</v>
      </c>
      <c r="L6" s="128">
        <v>-12.764433408146697</v>
      </c>
      <c r="M6" s="130">
        <v>39793</v>
      </c>
      <c r="N6" s="130">
        <v>42985</v>
      </c>
      <c r="O6" s="128">
        <v>8.0215113210866225</v>
      </c>
      <c r="P6" s="129">
        <v>0.86894997245680272</v>
      </c>
      <c r="Q6" s="132">
        <v>0</v>
      </c>
      <c r="R6" s="132">
        <v>0</v>
      </c>
      <c r="S6" s="104" t="s">
        <v>57</v>
      </c>
      <c r="T6" s="130">
        <v>0</v>
      </c>
      <c r="U6" s="130">
        <v>0</v>
      </c>
      <c r="V6" s="104" t="s">
        <v>57</v>
      </c>
      <c r="W6" s="104" t="s">
        <v>57</v>
      </c>
      <c r="X6" s="127">
        <v>4706.4495718010003</v>
      </c>
      <c r="Y6" s="127">
        <v>2798.5729653329995</v>
      </c>
      <c r="Z6" s="128">
        <v>-40.537491741102848</v>
      </c>
      <c r="AA6" s="127">
        <v>9512.3413974369996</v>
      </c>
      <c r="AB6" s="127">
        <v>6773.6839489230015</v>
      </c>
      <c r="AC6" s="128">
        <v>-28.790571470152454</v>
      </c>
      <c r="AD6" s="129">
        <v>1.691198121521299</v>
      </c>
    </row>
    <row r="7" spans="1:30" ht="13">
      <c r="A7" s="5"/>
      <c r="B7" s="106" t="s">
        <v>5</v>
      </c>
      <c r="C7" s="127">
        <v>135.48024000000001</v>
      </c>
      <c r="D7" s="127">
        <v>186.30678873200702</v>
      </c>
      <c r="E7" s="128">
        <v>37.515839012395467</v>
      </c>
      <c r="F7" s="127">
        <v>290.22937988199999</v>
      </c>
      <c r="G7" s="127">
        <v>834.31306384400693</v>
      </c>
      <c r="H7" s="128">
        <v>187.46678374988011</v>
      </c>
      <c r="I7" s="129">
        <v>1.8350435962678644</v>
      </c>
      <c r="J7" s="130">
        <v>8</v>
      </c>
      <c r="K7" s="130">
        <v>6</v>
      </c>
      <c r="L7" s="128">
        <v>-25</v>
      </c>
      <c r="M7" s="130">
        <v>18</v>
      </c>
      <c r="N7" s="130">
        <v>23</v>
      </c>
      <c r="O7" s="128">
        <v>27.777777777777779</v>
      </c>
      <c r="P7" s="129">
        <v>4.3071161048689142</v>
      </c>
      <c r="Q7" s="132">
        <v>33960</v>
      </c>
      <c r="R7" s="132">
        <v>337840</v>
      </c>
      <c r="S7" s="128">
        <v>894.81743227326263</v>
      </c>
      <c r="T7" s="130">
        <v>122343</v>
      </c>
      <c r="U7" s="130">
        <v>775973</v>
      </c>
      <c r="V7" s="128">
        <v>534.2602355672168</v>
      </c>
      <c r="W7" s="129">
        <v>2.5765548987325566</v>
      </c>
      <c r="X7" s="127">
        <v>680.66592999999989</v>
      </c>
      <c r="Y7" s="127">
        <v>3706.453524900001</v>
      </c>
      <c r="Z7" s="128">
        <v>444.5334284470506</v>
      </c>
      <c r="AA7" s="127">
        <v>2003.8666487799999</v>
      </c>
      <c r="AB7" s="127">
        <v>9378.6832287470024</v>
      </c>
      <c r="AC7" s="128">
        <v>368.02930895910464</v>
      </c>
      <c r="AD7" s="129">
        <v>3.0677145936509218</v>
      </c>
    </row>
    <row r="8" spans="1:30" ht="13">
      <c r="A8" s="5"/>
      <c r="B8" s="106" t="s">
        <v>6</v>
      </c>
      <c r="C8" s="127">
        <v>0.48574000000000001</v>
      </c>
      <c r="D8" s="127">
        <v>0.31833747000000079</v>
      </c>
      <c r="E8" s="128">
        <v>-34.463402231646398</v>
      </c>
      <c r="F8" s="127">
        <v>0.75999043099999997</v>
      </c>
      <c r="G8" s="127">
        <v>1.06276064</v>
      </c>
      <c r="H8" s="128">
        <v>39.838686995257717</v>
      </c>
      <c r="I8" s="129">
        <v>9.7467372956745776E-2</v>
      </c>
      <c r="J8" s="130">
        <v>0</v>
      </c>
      <c r="K8" s="130">
        <v>1</v>
      </c>
      <c r="L8" s="104" t="s">
        <v>57</v>
      </c>
      <c r="M8" s="130">
        <v>0</v>
      </c>
      <c r="N8" s="130">
        <v>1</v>
      </c>
      <c r="O8" s="104" t="s">
        <v>57</v>
      </c>
      <c r="P8" s="129">
        <v>7.6923076923076927E-2</v>
      </c>
      <c r="Q8" s="132">
        <v>0</v>
      </c>
      <c r="R8" s="132">
        <v>20</v>
      </c>
      <c r="S8" s="104" t="s">
        <v>57</v>
      </c>
      <c r="T8" s="130">
        <v>0</v>
      </c>
      <c r="U8" s="130">
        <v>20</v>
      </c>
      <c r="V8" s="104" t="s">
        <v>57</v>
      </c>
      <c r="W8" s="129">
        <v>2.2801819129130122E-3</v>
      </c>
      <c r="X8" s="127">
        <v>0</v>
      </c>
      <c r="Y8" s="127">
        <v>0</v>
      </c>
      <c r="Z8" s="104" t="s">
        <v>57</v>
      </c>
      <c r="AA8" s="127">
        <v>0</v>
      </c>
      <c r="AB8" s="127">
        <v>0</v>
      </c>
      <c r="AC8" s="104" t="s">
        <v>57</v>
      </c>
      <c r="AD8" s="129">
        <v>0</v>
      </c>
    </row>
    <row r="9" spans="1:30" ht="13">
      <c r="A9" s="5"/>
      <c r="B9" s="106" t="s">
        <v>25</v>
      </c>
      <c r="C9" s="127">
        <v>3.0090299999999992</v>
      </c>
      <c r="D9" s="127">
        <v>22.385451506000003</v>
      </c>
      <c r="E9" s="128">
        <v>643.94245009189035</v>
      </c>
      <c r="F9" s="127">
        <v>10.404934892000007</v>
      </c>
      <c r="G9" s="127">
        <v>49.157129121999603</v>
      </c>
      <c r="H9" s="128">
        <v>372.44052588733456</v>
      </c>
      <c r="I9" s="129">
        <v>2.2072777792743103</v>
      </c>
      <c r="J9" s="130">
        <v>3</v>
      </c>
      <c r="K9" s="130">
        <v>35</v>
      </c>
      <c r="L9" s="128">
        <v>1066.6666666666665</v>
      </c>
      <c r="M9" s="130">
        <v>27</v>
      </c>
      <c r="N9" s="130">
        <v>64</v>
      </c>
      <c r="O9" s="128">
        <v>137.03703703703704</v>
      </c>
      <c r="P9" s="129">
        <v>1.3018714401952807</v>
      </c>
      <c r="Q9" s="132">
        <v>45808</v>
      </c>
      <c r="R9" s="132">
        <v>67752</v>
      </c>
      <c r="S9" s="128">
        <v>47.90429619280475</v>
      </c>
      <c r="T9" s="130">
        <v>153051</v>
      </c>
      <c r="U9" s="130">
        <v>172782</v>
      </c>
      <c r="V9" s="128">
        <v>12.891781170982222</v>
      </c>
      <c r="W9" s="129">
        <v>1.0508396645720666</v>
      </c>
      <c r="X9" s="127">
        <v>7935.9110699999992</v>
      </c>
      <c r="Y9" s="127">
        <v>19749.009357884999</v>
      </c>
      <c r="Z9" s="128">
        <v>148.85623318716199</v>
      </c>
      <c r="AA9" s="127">
        <v>22411.582819875999</v>
      </c>
      <c r="AB9" s="127">
        <v>45845.350765455005</v>
      </c>
      <c r="AC9" s="128">
        <v>104.56096802228743</v>
      </c>
      <c r="AD9" s="129">
        <v>7.0500334779935443</v>
      </c>
    </row>
    <row r="10" spans="1:30" ht="13">
      <c r="A10" s="5"/>
      <c r="B10" s="106"/>
      <c r="C10" s="127"/>
      <c r="D10" s="127"/>
      <c r="E10" s="128"/>
      <c r="F10" s="127"/>
      <c r="G10" s="127"/>
      <c r="H10" s="128"/>
      <c r="I10" s="129"/>
      <c r="J10" s="130"/>
      <c r="K10" s="130"/>
      <c r="L10" s="128"/>
      <c r="M10" s="130"/>
      <c r="N10" s="130"/>
      <c r="O10" s="128"/>
      <c r="P10" s="129"/>
      <c r="Q10" s="132"/>
      <c r="R10" s="132"/>
      <c r="S10" s="128"/>
      <c r="T10" s="130"/>
      <c r="U10" s="130"/>
      <c r="V10" s="128"/>
      <c r="W10" s="129"/>
      <c r="X10" s="127"/>
      <c r="Y10" s="127"/>
      <c r="Z10" s="128"/>
      <c r="AA10" s="127"/>
      <c r="AB10" s="127"/>
      <c r="AC10" s="128"/>
      <c r="AD10" s="129"/>
    </row>
    <row r="11" spans="1:30" s="24" customFormat="1" ht="15.5">
      <c r="A11" s="16">
        <v>2</v>
      </c>
      <c r="B11" s="105" t="s">
        <v>66</v>
      </c>
      <c r="C11" s="123">
        <v>44.166006206999995</v>
      </c>
      <c r="D11" s="123">
        <v>67.254858056000003</v>
      </c>
      <c r="E11" s="124">
        <v>52.277427442240842</v>
      </c>
      <c r="F11" s="123">
        <v>101.61293784099999</v>
      </c>
      <c r="G11" s="123">
        <v>141.675134636</v>
      </c>
      <c r="H11" s="124">
        <v>39.426275478510213</v>
      </c>
      <c r="I11" s="125">
        <v>0.1922986638814409</v>
      </c>
      <c r="J11" s="126">
        <v>2827</v>
      </c>
      <c r="K11" s="126">
        <v>4122</v>
      </c>
      <c r="L11" s="124">
        <v>45.808277325787053</v>
      </c>
      <c r="M11" s="126">
        <v>5690</v>
      </c>
      <c r="N11" s="126">
        <v>7991</v>
      </c>
      <c r="O11" s="124">
        <v>40.439367311072054</v>
      </c>
      <c r="P11" s="125">
        <v>0.15356738121973357</v>
      </c>
      <c r="Q11" s="126">
        <v>956</v>
      </c>
      <c r="R11" s="126">
        <v>2309</v>
      </c>
      <c r="S11" s="124">
        <v>141.52719665271968</v>
      </c>
      <c r="T11" s="126">
        <v>3247</v>
      </c>
      <c r="U11" s="126">
        <v>5557</v>
      </c>
      <c r="V11" s="124">
        <v>71.142593162919624</v>
      </c>
      <c r="W11" s="125">
        <v>1.1714708954411948E-2</v>
      </c>
      <c r="X11" s="123">
        <v>612.0291337868</v>
      </c>
      <c r="Y11" s="123">
        <v>1198.3212239860002</v>
      </c>
      <c r="Z11" s="124">
        <v>95.794800906231799</v>
      </c>
      <c r="AA11" s="123">
        <v>1682.0972350318002</v>
      </c>
      <c r="AB11" s="123">
        <v>2672.3480435641004</v>
      </c>
      <c r="AC11" s="124">
        <v>58.870009884629496</v>
      </c>
      <c r="AD11" s="125">
        <v>0.19098645760500915</v>
      </c>
    </row>
    <row r="12" spans="1:30" ht="13">
      <c r="A12" s="5"/>
      <c r="B12" s="106" t="s">
        <v>3</v>
      </c>
      <c r="C12" s="13">
        <v>19.580281500000002</v>
      </c>
      <c r="D12" s="13">
        <v>17.018275400000004</v>
      </c>
      <c r="E12" s="128">
        <v>-13.084623425868507</v>
      </c>
      <c r="F12" s="13">
        <v>43.256962000000001</v>
      </c>
      <c r="G12" s="13">
        <v>41.428600400000008</v>
      </c>
      <c r="H12" s="128">
        <v>-4.2267452809099115</v>
      </c>
      <c r="I12" s="129">
        <v>0.50353778305267927</v>
      </c>
      <c r="J12" s="131">
        <v>377</v>
      </c>
      <c r="K12" s="131">
        <v>359</v>
      </c>
      <c r="L12" s="128">
        <v>-4.774535809018567</v>
      </c>
      <c r="M12" s="131">
        <v>872</v>
      </c>
      <c r="N12" s="131">
        <v>911</v>
      </c>
      <c r="O12" s="128">
        <v>4.4724770642201834</v>
      </c>
      <c r="P12" s="129">
        <v>0.36432130659777484</v>
      </c>
      <c r="Q12" s="132">
        <v>0</v>
      </c>
      <c r="R12" s="132">
        <v>0</v>
      </c>
      <c r="S12" s="104" t="s">
        <v>57</v>
      </c>
      <c r="T12" s="131">
        <v>0</v>
      </c>
      <c r="U12" s="131">
        <v>0</v>
      </c>
      <c r="V12" s="104" t="s">
        <v>57</v>
      </c>
      <c r="W12" s="104" t="s">
        <v>57</v>
      </c>
      <c r="X12" s="13">
        <v>37.784051900000001</v>
      </c>
      <c r="Y12" s="13">
        <v>36.139103599999999</v>
      </c>
      <c r="Z12" s="128">
        <v>-4.3535518751497451</v>
      </c>
      <c r="AA12" s="13">
        <v>81.955282600000004</v>
      </c>
      <c r="AB12" s="13">
        <v>86.318435899999997</v>
      </c>
      <c r="AC12" s="128">
        <v>5.3238219204188226</v>
      </c>
      <c r="AD12" s="129">
        <v>1.1360520927313782</v>
      </c>
    </row>
    <row r="13" spans="1:30" ht="13">
      <c r="A13" s="5"/>
      <c r="B13" s="106" t="s">
        <v>4</v>
      </c>
      <c r="C13" s="13">
        <v>18.677827353000001</v>
      </c>
      <c r="D13" s="13">
        <v>33.925702444999999</v>
      </c>
      <c r="E13" s="128">
        <v>81.636235327718182</v>
      </c>
      <c r="F13" s="13">
        <v>38.620132540000007</v>
      </c>
      <c r="G13" s="13">
        <v>61.505318798999994</v>
      </c>
      <c r="H13" s="128">
        <v>59.257140651439059</v>
      </c>
      <c r="I13" s="129">
        <v>0.36909035266803597</v>
      </c>
      <c r="J13" s="131">
        <v>2450</v>
      </c>
      <c r="K13" s="131">
        <v>3762</v>
      </c>
      <c r="L13" s="128">
        <v>53.551020408163261</v>
      </c>
      <c r="M13" s="131">
        <v>4818</v>
      </c>
      <c r="N13" s="131">
        <v>7077</v>
      </c>
      <c r="O13" s="128">
        <v>46.88667496886675</v>
      </c>
      <c r="P13" s="129">
        <v>0.14306290461967647</v>
      </c>
      <c r="Q13" s="132">
        <v>0</v>
      </c>
      <c r="R13" s="132">
        <v>0</v>
      </c>
      <c r="S13" s="104" t="s">
        <v>57</v>
      </c>
      <c r="T13" s="131">
        <v>0</v>
      </c>
      <c r="U13" s="131">
        <v>0</v>
      </c>
      <c r="V13" s="104" t="s">
        <v>57</v>
      </c>
      <c r="W13" s="104" t="s">
        <v>57</v>
      </c>
      <c r="X13" s="13">
        <v>282.656272</v>
      </c>
      <c r="Y13" s="13">
        <v>407.00007249999993</v>
      </c>
      <c r="Z13" s="128">
        <v>43.991169776696104</v>
      </c>
      <c r="AA13" s="13">
        <v>628.83382440000003</v>
      </c>
      <c r="AB13" s="13">
        <v>744.8890255</v>
      </c>
      <c r="AC13" s="128">
        <v>18.455623186417128</v>
      </c>
      <c r="AD13" s="129">
        <v>0.18597781209850051</v>
      </c>
    </row>
    <row r="14" spans="1:30" ht="13">
      <c r="A14" s="5"/>
      <c r="B14" s="106" t="s">
        <v>5</v>
      </c>
      <c r="C14" s="13">
        <v>5.9078973539999948</v>
      </c>
      <c r="D14" s="13">
        <v>16.310709270999997</v>
      </c>
      <c r="E14" s="128">
        <v>176.08315266270975</v>
      </c>
      <c r="F14" s="13">
        <v>19.735734520999987</v>
      </c>
      <c r="G14" s="13">
        <v>38.740492826999997</v>
      </c>
      <c r="H14" s="128">
        <v>96.296179327796622</v>
      </c>
      <c r="I14" s="129">
        <v>8.5208414394119331E-2</v>
      </c>
      <c r="J14" s="131">
        <v>0</v>
      </c>
      <c r="K14" s="131">
        <v>1</v>
      </c>
      <c r="L14" s="104" t="s">
        <v>57</v>
      </c>
      <c r="M14" s="131">
        <v>0</v>
      </c>
      <c r="N14" s="131">
        <v>3</v>
      </c>
      <c r="O14" s="104" t="s">
        <v>57</v>
      </c>
      <c r="P14" s="129">
        <v>0.5617977528089888</v>
      </c>
      <c r="Q14" s="131">
        <v>956</v>
      </c>
      <c r="R14" s="131">
        <v>2287</v>
      </c>
      <c r="S14" s="128">
        <v>139.22594142259413</v>
      </c>
      <c r="T14" s="131">
        <v>3233</v>
      </c>
      <c r="U14" s="131">
        <v>5464</v>
      </c>
      <c r="V14" s="128">
        <v>69.007114135477892</v>
      </c>
      <c r="W14" s="129">
        <v>1.814276523368041E-2</v>
      </c>
      <c r="X14" s="13">
        <v>291.58880988679999</v>
      </c>
      <c r="Y14" s="13">
        <v>755.11604788600005</v>
      </c>
      <c r="Z14" s="128">
        <v>158.96605846402323</v>
      </c>
      <c r="AA14" s="13">
        <v>971.26612803180035</v>
      </c>
      <c r="AB14" s="13">
        <v>1840.8615821640999</v>
      </c>
      <c r="AC14" s="128">
        <v>89.532150770507258</v>
      </c>
      <c r="AD14" s="129">
        <v>0.60213548136336925</v>
      </c>
    </row>
    <row r="15" spans="1:30" ht="13">
      <c r="A15" s="5"/>
      <c r="B15" s="106" t="s">
        <v>6</v>
      </c>
      <c r="C15" s="13">
        <v>0</v>
      </c>
      <c r="D15" s="13">
        <v>1.7094000000000001E-4</v>
      </c>
      <c r="E15" s="104" t="s">
        <v>57</v>
      </c>
      <c r="F15" s="13">
        <v>1.0878000000000003E-4</v>
      </c>
      <c r="G15" s="13">
        <v>7.2261000000000005E-4</v>
      </c>
      <c r="H15" s="128">
        <v>564.28571428571411</v>
      </c>
      <c r="I15" s="129">
        <v>6.6271647369509347E-5</v>
      </c>
      <c r="J15" s="131">
        <v>0</v>
      </c>
      <c r="K15" s="131">
        <v>0</v>
      </c>
      <c r="L15" s="104" t="s">
        <v>57</v>
      </c>
      <c r="M15" s="131">
        <v>0</v>
      </c>
      <c r="N15" s="131">
        <v>0</v>
      </c>
      <c r="O15" s="104" t="s">
        <v>57</v>
      </c>
      <c r="P15" s="129">
        <v>0</v>
      </c>
      <c r="Q15" s="132">
        <v>0</v>
      </c>
      <c r="R15" s="132">
        <v>22</v>
      </c>
      <c r="S15" s="104" t="s">
        <v>57</v>
      </c>
      <c r="T15" s="131">
        <v>14</v>
      </c>
      <c r="U15" s="131">
        <v>93</v>
      </c>
      <c r="V15" s="128">
        <v>564.28571428571433</v>
      </c>
      <c r="W15" s="129">
        <v>1.0602845895045506E-2</v>
      </c>
      <c r="X15" s="13">
        <v>0</v>
      </c>
      <c r="Y15" s="13">
        <v>6.6000000000000003E-2</v>
      </c>
      <c r="Z15" s="104" t="s">
        <v>57</v>
      </c>
      <c r="AA15" s="13">
        <v>4.2000000000000003E-2</v>
      </c>
      <c r="AB15" s="13">
        <v>0.27899999999999997</v>
      </c>
      <c r="AC15" s="128">
        <v>564.28571428571411</v>
      </c>
      <c r="AD15" s="129">
        <v>7.9481012427379282E-4</v>
      </c>
    </row>
    <row r="16" spans="1:30" ht="13">
      <c r="A16" s="5"/>
      <c r="B16" s="106" t="s">
        <v>25</v>
      </c>
      <c r="C16" s="13">
        <v>0</v>
      </c>
      <c r="D16" s="13">
        <v>0</v>
      </c>
      <c r="E16" s="104" t="s">
        <v>57</v>
      </c>
      <c r="F16" s="13">
        <v>0</v>
      </c>
      <c r="G16" s="13">
        <v>0</v>
      </c>
      <c r="H16" s="104" t="s">
        <v>57</v>
      </c>
      <c r="I16" s="129">
        <v>0</v>
      </c>
      <c r="J16" s="131">
        <v>0</v>
      </c>
      <c r="K16" s="131">
        <v>0</v>
      </c>
      <c r="L16" s="104" t="s">
        <v>57</v>
      </c>
      <c r="M16" s="131">
        <v>0</v>
      </c>
      <c r="N16" s="131">
        <v>0</v>
      </c>
      <c r="O16" s="104" t="s">
        <v>57</v>
      </c>
      <c r="P16" s="129">
        <v>0</v>
      </c>
      <c r="Q16" s="132">
        <v>0</v>
      </c>
      <c r="R16" s="132">
        <v>0</v>
      </c>
      <c r="S16" s="104" t="s">
        <v>57</v>
      </c>
      <c r="T16" s="131">
        <v>0</v>
      </c>
      <c r="U16" s="131">
        <v>0</v>
      </c>
      <c r="V16" s="104" t="s">
        <v>57</v>
      </c>
      <c r="W16" s="129">
        <v>0</v>
      </c>
      <c r="X16" s="13">
        <v>0</v>
      </c>
      <c r="Y16" s="13">
        <v>0</v>
      </c>
      <c r="Z16" s="104" t="s">
        <v>57</v>
      </c>
      <c r="AA16" s="13">
        <v>0</v>
      </c>
      <c r="AB16" s="13">
        <v>0</v>
      </c>
      <c r="AC16" s="104" t="s">
        <v>57</v>
      </c>
      <c r="AD16" s="129">
        <v>0</v>
      </c>
    </row>
    <row r="17" spans="1:30" ht="13">
      <c r="A17" s="5"/>
      <c r="B17" s="106"/>
      <c r="C17" s="13"/>
      <c r="D17" s="13"/>
      <c r="E17" s="128"/>
      <c r="F17" s="13"/>
      <c r="G17" s="13"/>
      <c r="H17" s="128"/>
      <c r="I17" s="129"/>
      <c r="J17" s="131"/>
      <c r="K17" s="131"/>
      <c r="L17" s="128"/>
      <c r="M17" s="131"/>
      <c r="N17" s="131"/>
      <c r="O17" s="128"/>
      <c r="P17" s="129"/>
      <c r="Q17" s="132"/>
      <c r="R17" s="132"/>
      <c r="S17" s="128"/>
      <c r="T17" s="131"/>
      <c r="U17" s="131"/>
      <c r="V17" s="128"/>
      <c r="W17" s="129"/>
      <c r="X17" s="13"/>
      <c r="Y17" s="13"/>
      <c r="Z17" s="128"/>
      <c r="AA17" s="13"/>
      <c r="AB17" s="13"/>
      <c r="AC17" s="128"/>
      <c r="AD17" s="129"/>
    </row>
    <row r="18" spans="1:30" s="24" customFormat="1" ht="15.5">
      <c r="A18" s="16">
        <v>3</v>
      </c>
      <c r="B18" s="105" t="s">
        <v>22</v>
      </c>
      <c r="C18" s="123">
        <v>2.5965907380000002</v>
      </c>
      <c r="D18" s="123">
        <v>0.23981345700000001</v>
      </c>
      <c r="E18" s="124">
        <v>-90.764295139375179</v>
      </c>
      <c r="F18" s="123">
        <v>8.6889054729999984</v>
      </c>
      <c r="G18" s="123">
        <v>0.68197338699999999</v>
      </c>
      <c r="H18" s="124">
        <v>-92.151216409026759</v>
      </c>
      <c r="I18" s="125">
        <v>9.2565693662292935E-4</v>
      </c>
      <c r="J18" s="126">
        <v>1430</v>
      </c>
      <c r="K18" s="126">
        <v>326</v>
      </c>
      <c r="L18" s="124">
        <v>-77.2027972027972</v>
      </c>
      <c r="M18" s="126">
        <v>3494</v>
      </c>
      <c r="N18" s="126">
        <v>612</v>
      </c>
      <c r="O18" s="124">
        <v>-82.484258729250143</v>
      </c>
      <c r="P18" s="125">
        <v>1.1761135941243516E-2</v>
      </c>
      <c r="Q18" s="126">
        <v>3291</v>
      </c>
      <c r="R18" s="126">
        <v>1095</v>
      </c>
      <c r="S18" s="124">
        <v>-66.727438468550588</v>
      </c>
      <c r="T18" s="126">
        <v>28811</v>
      </c>
      <c r="U18" s="126">
        <v>3487</v>
      </c>
      <c r="V18" s="124">
        <v>-87.896983790913197</v>
      </c>
      <c r="W18" s="125">
        <v>7.3509429771521431E-3</v>
      </c>
      <c r="X18" s="123">
        <v>3399.7753417639997</v>
      </c>
      <c r="Y18" s="123">
        <v>70.27101909999999</v>
      </c>
      <c r="Z18" s="124">
        <v>-97.933068746138403</v>
      </c>
      <c r="AA18" s="123">
        <v>11445.565351064</v>
      </c>
      <c r="AB18" s="123">
        <v>261.6636815999999</v>
      </c>
      <c r="AC18" s="124">
        <v>-97.713842229945641</v>
      </c>
      <c r="AD18" s="125">
        <v>1.8700490661395501E-2</v>
      </c>
    </row>
    <row r="19" spans="1:30" ht="13">
      <c r="A19" s="5"/>
      <c r="B19" s="106" t="s">
        <v>3</v>
      </c>
      <c r="C19" s="13">
        <v>9.7631999999999997E-3</v>
      </c>
      <c r="D19" s="13">
        <v>-1.0501130000000003E-3</v>
      </c>
      <c r="E19" s="128">
        <v>-110.75582800721075</v>
      </c>
      <c r="F19" s="13">
        <v>1.1863200000000001E-2</v>
      </c>
      <c r="G19" s="13">
        <v>-1.0501130000000003E-3</v>
      </c>
      <c r="H19" s="128">
        <v>-108.85185278845506</v>
      </c>
      <c r="I19" s="129">
        <v>-1.2763442811715123E-5</v>
      </c>
      <c r="J19" s="131">
        <v>2</v>
      </c>
      <c r="K19" s="131">
        <v>199</v>
      </c>
      <c r="L19" s="104">
        <v>9850</v>
      </c>
      <c r="M19" s="131">
        <v>2</v>
      </c>
      <c r="N19" s="131">
        <v>199</v>
      </c>
      <c r="O19" s="104">
        <v>9850</v>
      </c>
      <c r="P19" s="129">
        <v>7.9582810113015587E-2</v>
      </c>
      <c r="Q19" s="132">
        <v>0</v>
      </c>
      <c r="R19" s="132">
        <v>0</v>
      </c>
      <c r="S19" s="104" t="s">
        <v>57</v>
      </c>
      <c r="T19" s="131">
        <v>0</v>
      </c>
      <c r="U19" s="131">
        <v>0</v>
      </c>
      <c r="V19" s="104" t="s">
        <v>57</v>
      </c>
      <c r="W19" s="104" t="s">
        <v>57</v>
      </c>
      <c r="X19" s="13">
        <v>0.85</v>
      </c>
      <c r="Y19" s="13">
        <v>0.35325000000000001</v>
      </c>
      <c r="Z19" s="104">
        <v>-58.441176470588232</v>
      </c>
      <c r="AA19" s="13">
        <v>0.85</v>
      </c>
      <c r="AB19" s="13">
        <v>0.35325000000000001</v>
      </c>
      <c r="AC19" s="104">
        <v>-58.441176470588232</v>
      </c>
      <c r="AD19" s="129">
        <v>4.649185282067413E-3</v>
      </c>
    </row>
    <row r="20" spans="1:30" ht="13">
      <c r="A20" s="5"/>
      <c r="B20" s="106" t="s">
        <v>4</v>
      </c>
      <c r="C20" s="13">
        <v>1.8256579830000004</v>
      </c>
      <c r="D20" s="13">
        <v>5.373119899999998E-2</v>
      </c>
      <c r="E20" s="128">
        <v>-97.056885818684037</v>
      </c>
      <c r="F20" s="13">
        <v>4.4820906950000001</v>
      </c>
      <c r="G20" s="13">
        <v>0.372342006</v>
      </c>
      <c r="H20" s="128">
        <v>-91.692671314853882</v>
      </c>
      <c r="I20" s="129">
        <v>2.234405820361318E-3</v>
      </c>
      <c r="J20" s="131">
        <v>1426</v>
      </c>
      <c r="K20" s="131">
        <v>126</v>
      </c>
      <c r="L20" s="128">
        <v>-91.164095371669006</v>
      </c>
      <c r="M20" s="131">
        <v>3478</v>
      </c>
      <c r="N20" s="131">
        <v>409</v>
      </c>
      <c r="O20" s="128">
        <v>-88.240368027602074</v>
      </c>
      <c r="P20" s="129">
        <v>8.2680129983676229E-3</v>
      </c>
      <c r="Q20" s="132">
        <v>0</v>
      </c>
      <c r="R20" s="132">
        <v>0</v>
      </c>
      <c r="S20" s="104" t="s">
        <v>57</v>
      </c>
      <c r="T20" s="131">
        <v>0</v>
      </c>
      <c r="U20" s="131">
        <v>0</v>
      </c>
      <c r="V20" s="104" t="s">
        <v>57</v>
      </c>
      <c r="W20" s="104" t="s">
        <v>57</v>
      </c>
      <c r="X20" s="13">
        <v>1482.8046508</v>
      </c>
      <c r="Y20" s="13">
        <v>14.602369100000001</v>
      </c>
      <c r="Z20" s="128">
        <v>-99.015219631788867</v>
      </c>
      <c r="AA20" s="13">
        <v>3492.5292198000006</v>
      </c>
      <c r="AB20" s="13">
        <v>50.583631599999904</v>
      </c>
      <c r="AC20" s="128">
        <v>-98.551661892669955</v>
      </c>
      <c r="AD20" s="129">
        <v>1.2629308274007527E-2</v>
      </c>
    </row>
    <row r="21" spans="1:30" ht="13">
      <c r="A21" s="5"/>
      <c r="B21" s="106" t="s">
        <v>5</v>
      </c>
      <c r="C21" s="13">
        <v>0</v>
      </c>
      <c r="D21" s="13">
        <v>0.17083987600000003</v>
      </c>
      <c r="E21" s="104" t="s">
        <v>57</v>
      </c>
      <c r="F21" s="13">
        <v>0</v>
      </c>
      <c r="G21" s="13">
        <v>0.27582834100000003</v>
      </c>
      <c r="H21" s="104" t="s">
        <v>57</v>
      </c>
      <c r="I21" s="129">
        <v>6.0667518316107299E-4</v>
      </c>
      <c r="J21" s="131">
        <v>0</v>
      </c>
      <c r="K21" s="131">
        <v>0</v>
      </c>
      <c r="L21" s="104" t="s">
        <v>57</v>
      </c>
      <c r="M21" s="131">
        <v>0</v>
      </c>
      <c r="N21" s="131">
        <v>3</v>
      </c>
      <c r="O21" s="104" t="s">
        <v>57</v>
      </c>
      <c r="P21" s="129">
        <v>0.5617977528089888</v>
      </c>
      <c r="Q21" s="131">
        <v>0</v>
      </c>
      <c r="R21" s="131">
        <v>146</v>
      </c>
      <c r="S21" s="104" t="s">
        <v>57</v>
      </c>
      <c r="T21" s="131">
        <v>0</v>
      </c>
      <c r="U21" s="131">
        <v>267</v>
      </c>
      <c r="V21" s="104" t="s">
        <v>57</v>
      </c>
      <c r="W21" s="104" t="s">
        <v>57</v>
      </c>
      <c r="X21" s="13">
        <v>0</v>
      </c>
      <c r="Y21" s="13">
        <v>19.510899999999999</v>
      </c>
      <c r="Z21" s="104" t="s">
        <v>57</v>
      </c>
      <c r="AA21" s="13">
        <v>0</v>
      </c>
      <c r="AB21" s="13">
        <v>24.203600000000002</v>
      </c>
      <c r="AC21" s="104" t="s">
        <v>57</v>
      </c>
      <c r="AD21" s="129">
        <v>7.916861581517479E-3</v>
      </c>
    </row>
    <row r="22" spans="1:30" ht="13">
      <c r="A22" s="5"/>
      <c r="B22" s="106" t="s">
        <v>6</v>
      </c>
      <c r="C22" s="13">
        <v>0</v>
      </c>
      <c r="D22" s="13">
        <v>0</v>
      </c>
      <c r="E22" s="104" t="s">
        <v>57</v>
      </c>
      <c r="F22" s="13">
        <v>0</v>
      </c>
      <c r="G22" s="13">
        <v>0</v>
      </c>
      <c r="H22" s="104" t="s">
        <v>57</v>
      </c>
      <c r="I22" s="129">
        <v>0</v>
      </c>
      <c r="J22" s="131">
        <v>0</v>
      </c>
      <c r="K22" s="131">
        <v>0</v>
      </c>
      <c r="L22" s="104" t="s">
        <v>57</v>
      </c>
      <c r="M22" s="131">
        <v>0</v>
      </c>
      <c r="N22" s="131">
        <v>0</v>
      </c>
      <c r="O22" s="104" t="s">
        <v>57</v>
      </c>
      <c r="P22" s="129">
        <v>0</v>
      </c>
      <c r="Q22" s="132">
        <v>0</v>
      </c>
      <c r="R22" s="132">
        <v>0</v>
      </c>
      <c r="S22" s="104" t="s">
        <v>57</v>
      </c>
      <c r="T22" s="131">
        <v>0</v>
      </c>
      <c r="U22" s="131">
        <v>0</v>
      </c>
      <c r="V22" s="104" t="s">
        <v>57</v>
      </c>
      <c r="W22" s="104" t="s">
        <v>57</v>
      </c>
      <c r="X22" s="13">
        <v>0</v>
      </c>
      <c r="Y22" s="13">
        <v>0</v>
      </c>
      <c r="Z22" s="104" t="s">
        <v>57</v>
      </c>
      <c r="AA22" s="13">
        <v>0</v>
      </c>
      <c r="AB22" s="13">
        <v>0</v>
      </c>
      <c r="AC22" s="104" t="s">
        <v>57</v>
      </c>
      <c r="AD22" s="129">
        <v>0</v>
      </c>
    </row>
    <row r="23" spans="1:30" ht="13">
      <c r="A23" s="5"/>
      <c r="B23" s="106" t="s">
        <v>25</v>
      </c>
      <c r="C23" s="13">
        <v>0.76116955499999961</v>
      </c>
      <c r="D23" s="13">
        <v>1.6292494999999997E-2</v>
      </c>
      <c r="E23" s="128">
        <v>-97.859544579394012</v>
      </c>
      <c r="F23" s="13">
        <v>4.1949515779999995</v>
      </c>
      <c r="G23" s="13">
        <v>3.4853152999999998E-2</v>
      </c>
      <c r="H23" s="128">
        <v>-99.169164355012256</v>
      </c>
      <c r="I23" s="129">
        <v>1.5649935528907549E-3</v>
      </c>
      <c r="J23" s="131">
        <v>2</v>
      </c>
      <c r="K23" s="131">
        <v>1</v>
      </c>
      <c r="L23" s="128">
        <v>-50</v>
      </c>
      <c r="M23" s="131">
        <v>14</v>
      </c>
      <c r="N23" s="131">
        <v>1</v>
      </c>
      <c r="O23" s="128">
        <v>-92.857142857142861</v>
      </c>
      <c r="P23" s="129">
        <v>2.034174125305126E-2</v>
      </c>
      <c r="Q23" s="132">
        <v>3291</v>
      </c>
      <c r="R23" s="132">
        <v>949</v>
      </c>
      <c r="S23" s="128">
        <v>-71.163780006077175</v>
      </c>
      <c r="T23" s="131">
        <v>28811</v>
      </c>
      <c r="U23" s="131">
        <v>3220</v>
      </c>
      <c r="V23" s="128">
        <v>-88.823713165110547</v>
      </c>
      <c r="W23" s="129">
        <v>1.9583658713998302E-2</v>
      </c>
      <c r="X23" s="13">
        <v>1916.120690964</v>
      </c>
      <c r="Y23" s="13">
        <v>35.804499999999997</v>
      </c>
      <c r="Z23" s="128">
        <v>-98.131406848804147</v>
      </c>
      <c r="AA23" s="13">
        <v>7952.1861312639994</v>
      </c>
      <c r="AB23" s="13">
        <v>186.5232</v>
      </c>
      <c r="AC23" s="128">
        <v>-97.654441220047843</v>
      </c>
      <c r="AD23" s="129">
        <v>2.8683275020623226E-2</v>
      </c>
    </row>
    <row r="24" spans="1:30" ht="13">
      <c r="A24" s="5"/>
      <c r="B24" s="106"/>
      <c r="C24" s="13"/>
      <c r="D24" s="13"/>
      <c r="E24" s="128"/>
      <c r="F24" s="13"/>
      <c r="G24" s="13"/>
      <c r="H24" s="128"/>
      <c r="I24" s="129"/>
      <c r="J24" s="131"/>
      <c r="K24" s="131"/>
      <c r="L24" s="128"/>
      <c r="M24" s="131"/>
      <c r="N24" s="131"/>
      <c r="O24" s="128"/>
      <c r="P24" s="129"/>
      <c r="Q24" s="132"/>
      <c r="R24" s="132"/>
      <c r="S24" s="128"/>
      <c r="T24" s="131"/>
      <c r="U24" s="131"/>
      <c r="V24" s="128"/>
      <c r="W24" s="129"/>
      <c r="X24" s="13"/>
      <c r="Y24" s="13"/>
      <c r="Z24" s="128"/>
      <c r="AA24" s="13"/>
      <c r="AB24" s="13"/>
      <c r="AC24" s="128"/>
      <c r="AD24" s="129"/>
    </row>
    <row r="25" spans="1:30" s="24" customFormat="1" ht="15.5">
      <c r="A25" s="16">
        <v>4</v>
      </c>
      <c r="B25" s="105" t="s">
        <v>30</v>
      </c>
      <c r="C25" s="123">
        <v>18.825174226423073</v>
      </c>
      <c r="D25" s="123">
        <v>20.306223379669984</v>
      </c>
      <c r="E25" s="124">
        <v>7.867386168294292</v>
      </c>
      <c r="F25" s="123">
        <v>39.440881990338269</v>
      </c>
      <c r="G25" s="123">
        <v>56.629995750150549</v>
      </c>
      <c r="H25" s="124">
        <v>43.581971021903243</v>
      </c>
      <c r="I25" s="125">
        <v>7.6865093838410836E-2</v>
      </c>
      <c r="J25" s="126">
        <v>1319</v>
      </c>
      <c r="K25" s="126">
        <v>1601</v>
      </c>
      <c r="L25" s="124">
        <v>21.379833206974979</v>
      </c>
      <c r="M25" s="126">
        <v>2987</v>
      </c>
      <c r="N25" s="126">
        <v>3558</v>
      </c>
      <c r="O25" s="124">
        <v>19.116170070304651</v>
      </c>
      <c r="P25" s="125">
        <v>6.8376015815268684E-2</v>
      </c>
      <c r="Q25" s="126">
        <v>30417</v>
      </c>
      <c r="R25" s="126">
        <v>26095</v>
      </c>
      <c r="S25" s="124">
        <v>-14.209159351678338</v>
      </c>
      <c r="T25" s="126">
        <v>71783</v>
      </c>
      <c r="U25" s="126">
        <v>93066</v>
      </c>
      <c r="V25" s="124">
        <v>29.649081258793863</v>
      </c>
      <c r="W25" s="125">
        <v>0.19619238861819369</v>
      </c>
      <c r="X25" s="123">
        <v>2556.9742552760772</v>
      </c>
      <c r="Y25" s="123">
        <v>1231.0537642669658</v>
      </c>
      <c r="Z25" s="124">
        <v>-51.855058308592604</v>
      </c>
      <c r="AA25" s="123">
        <v>3246.5098946293892</v>
      </c>
      <c r="AB25" s="123">
        <v>5772.9009529630594</v>
      </c>
      <c r="AC25" s="124">
        <v>77.818677297519045</v>
      </c>
      <c r="AD25" s="125">
        <v>0.41257571436710577</v>
      </c>
    </row>
    <row r="26" spans="1:30" ht="13">
      <c r="A26" s="5"/>
      <c r="B26" s="106" t="s">
        <v>3</v>
      </c>
      <c r="C26" s="13">
        <v>0.58613660000000012</v>
      </c>
      <c r="D26" s="13">
        <v>2.9000849</v>
      </c>
      <c r="E26" s="128">
        <v>394.77969811132755</v>
      </c>
      <c r="F26" s="13">
        <v>1.5665932999999999</v>
      </c>
      <c r="G26" s="13">
        <v>3.4421770000000005</v>
      </c>
      <c r="H26" s="128">
        <v>119.72371514674553</v>
      </c>
      <c r="I26" s="129">
        <v>4.1837430150184901E-2</v>
      </c>
      <c r="J26" s="131">
        <v>12</v>
      </c>
      <c r="K26" s="131">
        <v>28</v>
      </c>
      <c r="L26" s="128">
        <v>133.33333333333331</v>
      </c>
      <c r="M26" s="131">
        <v>-16</v>
      </c>
      <c r="N26" s="131">
        <v>40</v>
      </c>
      <c r="O26" s="128">
        <v>-350</v>
      </c>
      <c r="P26" s="129">
        <v>1.5996544746334794E-2</v>
      </c>
      <c r="Q26" s="132">
        <v>0</v>
      </c>
      <c r="R26" s="132">
        <v>0</v>
      </c>
      <c r="S26" s="104" t="s">
        <v>57</v>
      </c>
      <c r="T26" s="131">
        <v>0</v>
      </c>
      <c r="U26" s="131">
        <v>0</v>
      </c>
      <c r="V26" s="104" t="s">
        <v>57</v>
      </c>
      <c r="W26" s="104" t="s">
        <v>57</v>
      </c>
      <c r="X26" s="13">
        <v>0.76500000000000012</v>
      </c>
      <c r="Y26" s="13">
        <v>1.9633750000000001</v>
      </c>
      <c r="Z26" s="128">
        <v>156.65032679738559</v>
      </c>
      <c r="AA26" s="13">
        <v>1.5077859</v>
      </c>
      <c r="AB26" s="13">
        <v>2.0633750000000002</v>
      </c>
      <c r="AC26" s="128">
        <v>36.84801005235559</v>
      </c>
      <c r="AD26" s="129">
        <v>2.7156440711637222E-2</v>
      </c>
    </row>
    <row r="27" spans="1:30" ht="13">
      <c r="A27" s="5"/>
      <c r="B27" s="106" t="s">
        <v>4</v>
      </c>
      <c r="C27" s="13">
        <v>7.8021712999999986</v>
      </c>
      <c r="D27" s="13">
        <v>11.379909899999999</v>
      </c>
      <c r="E27" s="128">
        <v>45.85567866216936</v>
      </c>
      <c r="F27" s="13">
        <v>24.593137000000002</v>
      </c>
      <c r="G27" s="13">
        <v>23.820232600000001</v>
      </c>
      <c r="H27" s="128">
        <v>-3.1427645850954331</v>
      </c>
      <c r="I27" s="129">
        <v>0.14294402862458769</v>
      </c>
      <c r="J27" s="131">
        <v>1284</v>
      </c>
      <c r="K27" s="131">
        <v>1568</v>
      </c>
      <c r="L27" s="128">
        <v>22.118380062305295</v>
      </c>
      <c r="M27" s="131">
        <v>2980</v>
      </c>
      <c r="N27" s="131">
        <v>3498</v>
      </c>
      <c r="O27" s="128">
        <v>17.382550335570471</v>
      </c>
      <c r="P27" s="129">
        <v>7.0712737086283492E-2</v>
      </c>
      <c r="Q27" s="132">
        <v>0</v>
      </c>
      <c r="R27" s="132">
        <v>0</v>
      </c>
      <c r="S27" s="104" t="s">
        <v>57</v>
      </c>
      <c r="T27" s="131">
        <v>0</v>
      </c>
      <c r="U27" s="131">
        <v>0</v>
      </c>
      <c r="V27" s="104" t="s">
        <v>57</v>
      </c>
      <c r="W27" s="104" t="s">
        <v>57</v>
      </c>
      <c r="X27" s="13">
        <v>192.31489750000003</v>
      </c>
      <c r="Y27" s="13">
        <v>162.65797380000001</v>
      </c>
      <c r="Z27" s="128">
        <v>-15.421022544548332</v>
      </c>
      <c r="AA27" s="13">
        <v>519.57787010000004</v>
      </c>
      <c r="AB27" s="13">
        <v>338.81228570000002</v>
      </c>
      <c r="AC27" s="128">
        <v>-34.790855192737361</v>
      </c>
      <c r="AD27" s="129">
        <v>8.4591886105829156E-2</v>
      </c>
    </row>
    <row r="28" spans="1:30" ht="13">
      <c r="A28" s="5"/>
      <c r="B28" s="106" t="s">
        <v>5</v>
      </c>
      <c r="C28" s="13">
        <v>0.56547525730945103</v>
      </c>
      <c r="D28" s="13">
        <v>0.91633858081579989</v>
      </c>
      <c r="E28" s="128">
        <v>62.047511181261491</v>
      </c>
      <c r="F28" s="13">
        <v>0.6571770153094515</v>
      </c>
      <c r="G28" s="13">
        <v>1.8793781970849996</v>
      </c>
      <c r="H28" s="128">
        <v>185.97746928200738</v>
      </c>
      <c r="I28" s="129">
        <v>4.1336292993382762E-3</v>
      </c>
      <c r="J28" s="131">
        <v>0</v>
      </c>
      <c r="K28" s="131">
        <v>2</v>
      </c>
      <c r="L28" s="104" t="s">
        <v>57</v>
      </c>
      <c r="M28" s="131">
        <v>0</v>
      </c>
      <c r="N28" s="131">
        <v>2</v>
      </c>
      <c r="O28" s="104" t="s">
        <v>57</v>
      </c>
      <c r="P28" s="129">
        <v>0.37453183520599254</v>
      </c>
      <c r="Q28" s="131">
        <v>367</v>
      </c>
      <c r="R28" s="131">
        <v>426</v>
      </c>
      <c r="S28" s="128">
        <v>16.076294277929154</v>
      </c>
      <c r="T28" s="131">
        <v>1662</v>
      </c>
      <c r="U28" s="131">
        <v>739</v>
      </c>
      <c r="V28" s="128">
        <v>-55.535499398315281</v>
      </c>
      <c r="W28" s="129">
        <v>2.4537890753458681E-3</v>
      </c>
      <c r="X28" s="13">
        <v>26.530876600000003</v>
      </c>
      <c r="Y28" s="13">
        <v>52.927175300000002</v>
      </c>
      <c r="Z28" s="128">
        <v>99.492749892779628</v>
      </c>
      <c r="AA28" s="13">
        <v>34.600641199999998</v>
      </c>
      <c r="AB28" s="13">
        <v>106.3971342</v>
      </c>
      <c r="AC28" s="128">
        <v>207.50046967337704</v>
      </c>
      <c r="AD28" s="129">
        <v>3.480190484603693E-2</v>
      </c>
    </row>
    <row r="29" spans="1:30" ht="13">
      <c r="A29" s="5"/>
      <c r="B29" s="106" t="s">
        <v>6</v>
      </c>
      <c r="C29" s="13">
        <v>6.0560299999999997E-2</v>
      </c>
      <c r="D29" s="13">
        <v>7.5090000000000004E-2</v>
      </c>
      <c r="E29" s="128">
        <v>23.992120250395072</v>
      </c>
      <c r="F29" s="13">
        <v>0.2124743</v>
      </c>
      <c r="G29" s="13">
        <v>0.22967839999999998</v>
      </c>
      <c r="H29" s="128">
        <v>8.0970263227128978</v>
      </c>
      <c r="I29" s="129">
        <v>2.1064150694279228E-2</v>
      </c>
      <c r="J29" s="131">
        <v>0</v>
      </c>
      <c r="K29" s="131">
        <v>0</v>
      </c>
      <c r="L29" s="104" t="s">
        <v>57</v>
      </c>
      <c r="M29" s="131">
        <v>0</v>
      </c>
      <c r="N29" s="131">
        <v>0</v>
      </c>
      <c r="O29" s="104" t="s">
        <v>57</v>
      </c>
      <c r="P29" s="129">
        <v>0</v>
      </c>
      <c r="Q29" s="132">
        <v>0</v>
      </c>
      <c r="R29" s="132">
        <v>0</v>
      </c>
      <c r="S29" s="104" t="s">
        <v>57</v>
      </c>
      <c r="T29" s="131">
        <v>0</v>
      </c>
      <c r="U29" s="131">
        <v>0</v>
      </c>
      <c r="V29" s="104" t="s">
        <v>57</v>
      </c>
      <c r="W29" s="129">
        <v>0</v>
      </c>
      <c r="X29" s="13">
        <v>-1.0980000000000001</v>
      </c>
      <c r="Y29" s="13">
        <v>0</v>
      </c>
      <c r="Z29" s="128">
        <v>-100</v>
      </c>
      <c r="AA29" s="13">
        <v>-2.7239999999999998</v>
      </c>
      <c r="AB29" s="13">
        <v>0</v>
      </c>
      <c r="AC29" s="128">
        <v>-100</v>
      </c>
      <c r="AD29" s="129">
        <v>0</v>
      </c>
    </row>
    <row r="30" spans="1:30" ht="13">
      <c r="A30" s="5"/>
      <c r="B30" s="106" t="s">
        <v>25</v>
      </c>
      <c r="C30" s="13">
        <v>9.8108307691136236</v>
      </c>
      <c r="D30" s="13">
        <v>5.0347999988541847</v>
      </c>
      <c r="E30" s="128">
        <v>-48.681206338766941</v>
      </c>
      <c r="F30" s="13">
        <v>12.411500375028814</v>
      </c>
      <c r="G30" s="13">
        <v>27.258529553065546</v>
      </c>
      <c r="H30" s="128">
        <v>119.62316182101607</v>
      </c>
      <c r="I30" s="129">
        <v>1.2239760061831335</v>
      </c>
      <c r="J30" s="131">
        <v>23</v>
      </c>
      <c r="K30" s="131">
        <v>3</v>
      </c>
      <c r="L30" s="104">
        <v>-86.956521739130437</v>
      </c>
      <c r="M30" s="131">
        <v>23</v>
      </c>
      <c r="N30" s="131">
        <v>18</v>
      </c>
      <c r="O30" s="104">
        <v>-21.739130434782609</v>
      </c>
      <c r="P30" s="129">
        <v>0.36615134255492271</v>
      </c>
      <c r="Q30" s="132">
        <v>30050</v>
      </c>
      <c r="R30" s="132">
        <v>25669</v>
      </c>
      <c r="S30" s="128">
        <v>-14.579034941763727</v>
      </c>
      <c r="T30" s="131">
        <v>70121</v>
      </c>
      <c r="U30" s="131">
        <v>92327</v>
      </c>
      <c r="V30" s="128">
        <v>31.668116541406999</v>
      </c>
      <c r="W30" s="129">
        <v>0.56152188139357795</v>
      </c>
      <c r="X30" s="13">
        <v>2338.4614811760771</v>
      </c>
      <c r="Y30" s="13">
        <v>1013.5052401669657</v>
      </c>
      <c r="Z30" s="128">
        <v>-56.659314325876956</v>
      </c>
      <c r="AA30" s="13">
        <v>2693.547597429389</v>
      </c>
      <c r="AB30" s="13">
        <v>5325.6281580630593</v>
      </c>
      <c r="AC30" s="128">
        <v>97.717989581681039</v>
      </c>
      <c r="AD30" s="129">
        <v>0.81896759821458043</v>
      </c>
    </row>
    <row r="31" spans="1:30" ht="13">
      <c r="A31" s="5"/>
      <c r="B31" s="106"/>
      <c r="C31" s="13"/>
      <c r="D31" s="13"/>
      <c r="E31" s="128"/>
      <c r="F31" s="13"/>
      <c r="G31" s="13"/>
      <c r="H31" s="128"/>
      <c r="I31" s="129"/>
      <c r="J31" s="131"/>
      <c r="K31" s="131"/>
      <c r="L31" s="128"/>
      <c r="M31" s="131"/>
      <c r="N31" s="131"/>
      <c r="O31" s="128"/>
      <c r="P31" s="129"/>
      <c r="Q31" s="132"/>
      <c r="R31" s="132"/>
      <c r="S31" s="128"/>
      <c r="T31" s="131"/>
      <c r="U31" s="131"/>
      <c r="V31" s="128"/>
      <c r="W31" s="129"/>
      <c r="X31" s="13"/>
      <c r="Y31" s="13"/>
      <c r="Z31" s="128"/>
      <c r="AA31" s="13"/>
      <c r="AB31" s="13"/>
      <c r="AC31" s="128"/>
      <c r="AD31" s="129"/>
    </row>
    <row r="32" spans="1:30" s="24" customFormat="1" ht="15.5">
      <c r="A32" s="16">
        <v>5</v>
      </c>
      <c r="B32" s="105" t="s">
        <v>31</v>
      </c>
      <c r="C32" s="123">
        <v>614.97059222468886</v>
      </c>
      <c r="D32" s="123">
        <v>1259.1440421269406</v>
      </c>
      <c r="E32" s="124">
        <v>104.74865921180393</v>
      </c>
      <c r="F32" s="123">
        <v>1295.9304550945094</v>
      </c>
      <c r="G32" s="123">
        <v>2916.1988257122894</v>
      </c>
      <c r="H32" s="124">
        <v>125.02741672967453</v>
      </c>
      <c r="I32" s="125">
        <v>3.9582184921714862</v>
      </c>
      <c r="J32" s="126">
        <v>32216</v>
      </c>
      <c r="K32" s="126">
        <v>44948</v>
      </c>
      <c r="L32" s="124">
        <v>39.520735038490187</v>
      </c>
      <c r="M32" s="126">
        <v>70616</v>
      </c>
      <c r="N32" s="126">
        <v>121723</v>
      </c>
      <c r="O32" s="124">
        <v>72.373116574147502</v>
      </c>
      <c r="P32" s="125">
        <v>2.3392169120522626</v>
      </c>
      <c r="Q32" s="126">
        <v>930214</v>
      </c>
      <c r="R32" s="126">
        <v>2012696</v>
      </c>
      <c r="S32" s="124">
        <v>116.36913656427446</v>
      </c>
      <c r="T32" s="126">
        <v>4483766</v>
      </c>
      <c r="U32" s="126">
        <v>5493740</v>
      </c>
      <c r="V32" s="124">
        <v>22.525127314850955</v>
      </c>
      <c r="W32" s="125">
        <v>11.581350579667284</v>
      </c>
      <c r="X32" s="123">
        <v>23231.392641232516</v>
      </c>
      <c r="Y32" s="123">
        <v>28177.778576215169</v>
      </c>
      <c r="Z32" s="124">
        <v>21.291818408697118</v>
      </c>
      <c r="AA32" s="123">
        <v>97352.250742096614</v>
      </c>
      <c r="AB32" s="123">
        <v>138260.45877814185</v>
      </c>
      <c r="AC32" s="124">
        <v>42.020813822187165</v>
      </c>
      <c r="AD32" s="125">
        <v>9.881151264138218</v>
      </c>
    </row>
    <row r="33" spans="1:30" ht="13">
      <c r="A33" s="5"/>
      <c r="B33" s="106" t="s">
        <v>3</v>
      </c>
      <c r="C33" s="13">
        <v>21.806158226999997</v>
      </c>
      <c r="D33" s="13">
        <v>46.677978614000011</v>
      </c>
      <c r="E33" s="128">
        <v>114.05869905228958</v>
      </c>
      <c r="F33" s="13">
        <v>45.010931865499998</v>
      </c>
      <c r="G33" s="13">
        <v>120.26448222549999</v>
      </c>
      <c r="H33" s="128">
        <v>167.18949650913663</v>
      </c>
      <c r="I33" s="129">
        <v>1.4617368237186841</v>
      </c>
      <c r="J33" s="131">
        <v>270</v>
      </c>
      <c r="K33" s="131">
        <v>490</v>
      </c>
      <c r="L33" s="128">
        <v>81.481481481481481</v>
      </c>
      <c r="M33" s="131">
        <v>594</v>
      </c>
      <c r="N33" s="131">
        <v>1494</v>
      </c>
      <c r="O33" s="128">
        <v>151.5151515151515</v>
      </c>
      <c r="P33" s="129">
        <v>0.59747094627560449</v>
      </c>
      <c r="Q33" s="133">
        <v>0</v>
      </c>
      <c r="R33" s="133">
        <v>0</v>
      </c>
      <c r="S33" s="104" t="s">
        <v>57</v>
      </c>
      <c r="T33" s="131">
        <v>0</v>
      </c>
      <c r="U33" s="131">
        <v>0</v>
      </c>
      <c r="V33" s="104" t="s">
        <v>57</v>
      </c>
      <c r="W33" s="104" t="s">
        <v>57</v>
      </c>
      <c r="X33" s="13">
        <v>24.8802065</v>
      </c>
      <c r="Y33" s="13">
        <v>35.103238499999996</v>
      </c>
      <c r="Z33" s="128">
        <v>41.089015880957405</v>
      </c>
      <c r="AA33" s="13">
        <v>68.871895600000002</v>
      </c>
      <c r="AB33" s="13">
        <v>107.7599791</v>
      </c>
      <c r="AC33" s="128">
        <v>56.464372239523478</v>
      </c>
      <c r="AD33" s="129">
        <v>1.418248008004563</v>
      </c>
    </row>
    <row r="34" spans="1:30" ht="13">
      <c r="A34" s="5"/>
      <c r="B34" s="106" t="s">
        <v>4</v>
      </c>
      <c r="C34" s="13">
        <v>224.22962309516868</v>
      </c>
      <c r="D34" s="13">
        <v>339.61215300994036</v>
      </c>
      <c r="E34" s="128">
        <v>51.457308950566457</v>
      </c>
      <c r="F34" s="13">
        <v>488.82792723748929</v>
      </c>
      <c r="G34" s="13">
        <v>882.67713451878967</v>
      </c>
      <c r="H34" s="128">
        <v>80.57011175835602</v>
      </c>
      <c r="I34" s="129">
        <v>5.2969014913365253</v>
      </c>
      <c r="J34" s="131">
        <v>31934</v>
      </c>
      <c r="K34" s="131">
        <v>44428</v>
      </c>
      <c r="L34" s="128">
        <v>39.124444166092566</v>
      </c>
      <c r="M34" s="131">
        <v>69982</v>
      </c>
      <c r="N34" s="131">
        <v>120117</v>
      </c>
      <c r="O34" s="128">
        <v>71.639850247206425</v>
      </c>
      <c r="P34" s="129">
        <v>2.4281880619191289</v>
      </c>
      <c r="Q34" s="108">
        <v>0</v>
      </c>
      <c r="R34" s="108">
        <v>0</v>
      </c>
      <c r="S34" s="104" t="s">
        <v>57</v>
      </c>
      <c r="T34" s="131">
        <v>0</v>
      </c>
      <c r="U34" s="131">
        <v>0</v>
      </c>
      <c r="V34" s="104" t="s">
        <v>57</v>
      </c>
      <c r="W34" s="104" t="s">
        <v>57</v>
      </c>
      <c r="X34" s="13">
        <v>4766.2392942039996</v>
      </c>
      <c r="Y34" s="13">
        <v>6245.9116272799993</v>
      </c>
      <c r="Z34" s="128">
        <v>31.044860355109737</v>
      </c>
      <c r="AA34" s="13">
        <v>13762.026787412002</v>
      </c>
      <c r="AB34" s="13">
        <v>16231.358353957001</v>
      </c>
      <c r="AC34" s="128">
        <v>17.943080657303138</v>
      </c>
      <c r="AD34" s="129">
        <v>4.0525130733794681</v>
      </c>
    </row>
    <row r="35" spans="1:30" ht="13">
      <c r="A35" s="5"/>
      <c r="B35" s="106" t="s">
        <v>5</v>
      </c>
      <c r="C35" s="13">
        <v>355.01457664852018</v>
      </c>
      <c r="D35" s="13">
        <v>853.34542442999998</v>
      </c>
      <c r="E35" s="128">
        <v>140.36912300501086</v>
      </c>
      <c r="F35" s="13">
        <v>683.84036154452008</v>
      </c>
      <c r="G35" s="13">
        <v>1697.6121762750001</v>
      </c>
      <c r="H35" s="128">
        <v>148.24685288256131</v>
      </c>
      <c r="I35" s="129">
        <v>3.7338410340440809</v>
      </c>
      <c r="J35" s="131">
        <v>7</v>
      </c>
      <c r="K35" s="131">
        <v>28</v>
      </c>
      <c r="L35" s="128">
        <v>300</v>
      </c>
      <c r="M35" s="131">
        <v>12</v>
      </c>
      <c r="N35" s="131">
        <v>39</v>
      </c>
      <c r="O35" s="128">
        <v>225</v>
      </c>
      <c r="P35" s="129">
        <v>7.3033707865168536</v>
      </c>
      <c r="Q35" s="132">
        <v>529539</v>
      </c>
      <c r="R35" s="132">
        <v>1705878</v>
      </c>
      <c r="S35" s="128">
        <v>222.14397806393862</v>
      </c>
      <c r="T35" s="131">
        <v>3039083</v>
      </c>
      <c r="U35" s="131">
        <v>4124085</v>
      </c>
      <c r="V35" s="128">
        <v>35.701624470276066</v>
      </c>
      <c r="W35" s="129">
        <v>13.693687034909019</v>
      </c>
      <c r="X35" s="13">
        <v>3693.2691946995196</v>
      </c>
      <c r="Y35" s="13">
        <v>11464.416996799999</v>
      </c>
      <c r="Z35" s="128">
        <v>210.41379310377431</v>
      </c>
      <c r="AA35" s="13">
        <v>20287.061534099521</v>
      </c>
      <c r="AB35" s="13">
        <v>27217.913890099997</v>
      </c>
      <c r="AC35" s="128">
        <v>34.163904636217268</v>
      </c>
      <c r="AD35" s="129">
        <v>8.9028267202227607</v>
      </c>
    </row>
    <row r="36" spans="1:30" ht="13">
      <c r="A36" s="5"/>
      <c r="B36" s="106" t="s">
        <v>6</v>
      </c>
      <c r="C36" s="13">
        <v>0</v>
      </c>
      <c r="D36" s="13">
        <v>0</v>
      </c>
      <c r="E36" s="104" t="s">
        <v>57</v>
      </c>
      <c r="F36" s="13">
        <v>0</v>
      </c>
      <c r="G36" s="13">
        <v>0</v>
      </c>
      <c r="H36" s="104" t="s">
        <v>57</v>
      </c>
      <c r="I36" s="129">
        <v>0</v>
      </c>
      <c r="J36" s="131">
        <v>0</v>
      </c>
      <c r="K36" s="131">
        <v>0</v>
      </c>
      <c r="L36" s="104" t="s">
        <v>57</v>
      </c>
      <c r="M36" s="131">
        <v>0</v>
      </c>
      <c r="N36" s="131">
        <v>0</v>
      </c>
      <c r="O36" s="104" t="s">
        <v>57</v>
      </c>
      <c r="P36" s="129">
        <v>0</v>
      </c>
      <c r="Q36" s="132">
        <v>0</v>
      </c>
      <c r="R36" s="132">
        <v>0</v>
      </c>
      <c r="S36" s="104" t="s">
        <v>57</v>
      </c>
      <c r="T36" s="131">
        <v>0</v>
      </c>
      <c r="U36" s="131">
        <v>0</v>
      </c>
      <c r="V36" s="104" t="s">
        <v>57</v>
      </c>
      <c r="W36" s="129">
        <v>0</v>
      </c>
      <c r="X36" s="13">
        <v>0</v>
      </c>
      <c r="Y36" s="13">
        <v>0</v>
      </c>
      <c r="Z36" s="104" t="s">
        <v>57</v>
      </c>
      <c r="AA36" s="13">
        <v>0</v>
      </c>
      <c r="AB36" s="13">
        <v>0</v>
      </c>
      <c r="AC36" s="104" t="s">
        <v>57</v>
      </c>
      <c r="AD36" s="129">
        <v>0</v>
      </c>
    </row>
    <row r="37" spans="1:30" ht="13">
      <c r="A37" s="5"/>
      <c r="B37" s="106" t="s">
        <v>25</v>
      </c>
      <c r="C37" s="13">
        <v>13.920234253999993</v>
      </c>
      <c r="D37" s="13">
        <v>19.508486072999993</v>
      </c>
      <c r="E37" s="128">
        <v>40.144811624805882</v>
      </c>
      <c r="F37" s="13">
        <v>78.251234447000002</v>
      </c>
      <c r="G37" s="13">
        <v>215.64503269300002</v>
      </c>
      <c r="H37" s="128">
        <v>175.58035884923657</v>
      </c>
      <c r="I37" s="129">
        <v>9.6830001543177779</v>
      </c>
      <c r="J37" s="131">
        <v>5</v>
      </c>
      <c r="K37" s="131">
        <v>2</v>
      </c>
      <c r="L37" s="128">
        <v>-60</v>
      </c>
      <c r="M37" s="131">
        <v>28</v>
      </c>
      <c r="N37" s="131">
        <v>73</v>
      </c>
      <c r="O37" s="128">
        <v>160.71428571428572</v>
      </c>
      <c r="P37" s="129">
        <v>1.4849471114727422</v>
      </c>
      <c r="Q37" s="131">
        <v>400675</v>
      </c>
      <c r="R37" s="131">
        <v>306818</v>
      </c>
      <c r="S37" s="128">
        <v>-23.424720783677543</v>
      </c>
      <c r="T37" s="131">
        <v>1444683</v>
      </c>
      <c r="U37" s="131">
        <v>1369655</v>
      </c>
      <c r="V37" s="128">
        <v>-5.1933884457697648</v>
      </c>
      <c r="W37" s="129">
        <v>8.3300795266836474</v>
      </c>
      <c r="X37" s="13">
        <v>14747.003945828999</v>
      </c>
      <c r="Y37" s="13">
        <v>10432.34671363517</v>
      </c>
      <c r="Z37" s="128">
        <v>-29.257856362167551</v>
      </c>
      <c r="AA37" s="13">
        <v>63234.290524985088</v>
      </c>
      <c r="AB37" s="13">
        <v>94703.426554984835</v>
      </c>
      <c r="AC37" s="128">
        <v>49.765935173362443</v>
      </c>
      <c r="AD37" s="129">
        <v>14.563359567453393</v>
      </c>
    </row>
    <row r="38" spans="1:30" ht="13">
      <c r="A38" s="5"/>
      <c r="B38" s="106"/>
      <c r="C38" s="13"/>
      <c r="D38" s="13"/>
      <c r="E38" s="128"/>
      <c r="F38" s="13"/>
      <c r="G38" s="13"/>
      <c r="H38" s="128"/>
      <c r="I38" s="129"/>
      <c r="J38" s="131"/>
      <c r="K38" s="131"/>
      <c r="L38" s="128"/>
      <c r="M38" s="131"/>
      <c r="N38" s="131"/>
      <c r="O38" s="128"/>
      <c r="P38" s="129"/>
      <c r="Q38" s="131"/>
      <c r="R38" s="131"/>
      <c r="S38" s="128"/>
      <c r="T38" s="131"/>
      <c r="U38" s="131"/>
      <c r="V38" s="128"/>
      <c r="W38" s="129"/>
      <c r="X38" s="13"/>
      <c r="Y38" s="13"/>
      <c r="Z38" s="128"/>
      <c r="AA38" s="13"/>
      <c r="AB38" s="13"/>
      <c r="AC38" s="128"/>
      <c r="AD38" s="129"/>
    </row>
    <row r="39" spans="1:30" s="24" customFormat="1" ht="15.5">
      <c r="A39" s="16">
        <v>6</v>
      </c>
      <c r="B39" s="105" t="s">
        <v>14</v>
      </c>
      <c r="C39" s="123">
        <v>67.175118509951574</v>
      </c>
      <c r="D39" s="123">
        <v>82.47878255731402</v>
      </c>
      <c r="E39" s="124">
        <v>22.781744769226279</v>
      </c>
      <c r="F39" s="123">
        <v>151.70102602327123</v>
      </c>
      <c r="G39" s="123">
        <v>195.44794273396093</v>
      </c>
      <c r="H39" s="124">
        <v>28.837587890789113</v>
      </c>
      <c r="I39" s="125">
        <v>0.2652856363445924</v>
      </c>
      <c r="J39" s="126">
        <v>9187</v>
      </c>
      <c r="K39" s="126">
        <v>8548</v>
      </c>
      <c r="L39" s="124">
        <v>-6.9554805703711766</v>
      </c>
      <c r="M39" s="126">
        <v>19568</v>
      </c>
      <c r="N39" s="126">
        <v>20364</v>
      </c>
      <c r="O39" s="124">
        <v>4.0678659035159441</v>
      </c>
      <c r="P39" s="125">
        <v>0.39134603318216177</v>
      </c>
      <c r="Q39" s="126">
        <v>46322</v>
      </c>
      <c r="R39" s="126">
        <v>42792</v>
      </c>
      <c r="S39" s="124">
        <v>-7.6205690600578562</v>
      </c>
      <c r="T39" s="126">
        <v>209604</v>
      </c>
      <c r="U39" s="126">
        <v>75119</v>
      </c>
      <c r="V39" s="124">
        <v>-64.1614663842293</v>
      </c>
      <c r="W39" s="125">
        <v>0.15835832678540057</v>
      </c>
      <c r="X39" s="123">
        <v>2773.6810207899998</v>
      </c>
      <c r="Y39" s="123">
        <v>1857.2170524829999</v>
      </c>
      <c r="Z39" s="124">
        <v>-33.041433439450536</v>
      </c>
      <c r="AA39" s="123">
        <v>8881.1687465639989</v>
      </c>
      <c r="AB39" s="123">
        <v>4436.3128217559997</v>
      </c>
      <c r="AC39" s="124">
        <v>-50.04809672744539</v>
      </c>
      <c r="AD39" s="125">
        <v>0.31705289013359672</v>
      </c>
    </row>
    <row r="40" spans="1:30" ht="13">
      <c r="A40" s="5"/>
      <c r="B40" s="106" t="s">
        <v>3</v>
      </c>
      <c r="C40" s="13">
        <v>6.4457587689999993</v>
      </c>
      <c r="D40" s="13">
        <v>3.439722637</v>
      </c>
      <c r="E40" s="128">
        <v>-46.63587701198378</v>
      </c>
      <c r="F40" s="13">
        <v>13.653953698999999</v>
      </c>
      <c r="G40" s="13">
        <v>6.8457044489999994</v>
      </c>
      <c r="H40" s="128">
        <v>-49.862841196675717</v>
      </c>
      <c r="I40" s="129">
        <v>8.3205100061341269E-2</v>
      </c>
      <c r="J40" s="131">
        <v>17</v>
      </c>
      <c r="K40" s="131">
        <v>48</v>
      </c>
      <c r="L40" s="128">
        <v>182.35294117647058</v>
      </c>
      <c r="M40" s="131">
        <v>76</v>
      </c>
      <c r="N40" s="131">
        <v>121</v>
      </c>
      <c r="O40" s="128">
        <v>59.210526315789465</v>
      </c>
      <c r="P40" s="129">
        <v>4.8389547857662744E-2</v>
      </c>
      <c r="Q40" s="132">
        <v>0</v>
      </c>
      <c r="R40" s="132">
        <v>0</v>
      </c>
      <c r="S40" s="104" t="s">
        <v>57</v>
      </c>
      <c r="T40" s="131">
        <v>0</v>
      </c>
      <c r="U40" s="131">
        <v>0</v>
      </c>
      <c r="V40" s="104" t="s">
        <v>57</v>
      </c>
      <c r="W40" s="104" t="s">
        <v>57</v>
      </c>
      <c r="X40" s="13">
        <v>8.6068429999999996</v>
      </c>
      <c r="Y40" s="13">
        <v>5.4625136999999997</v>
      </c>
      <c r="Z40" s="128">
        <v>-36.532899461509871</v>
      </c>
      <c r="AA40" s="13">
        <v>26.781978300000002</v>
      </c>
      <c r="AB40" s="13">
        <v>21.478178100000001</v>
      </c>
      <c r="AC40" s="128">
        <v>-19.803616225019496</v>
      </c>
      <c r="AD40" s="129">
        <v>0.28267807362531527</v>
      </c>
    </row>
    <row r="41" spans="1:30" ht="13">
      <c r="A41" s="5"/>
      <c r="B41" s="106" t="s">
        <v>4</v>
      </c>
      <c r="C41" s="13">
        <v>52.59980263195154</v>
      </c>
      <c r="D41" s="13">
        <v>60.506102177313934</v>
      </c>
      <c r="E41" s="128">
        <v>15.031044128975008</v>
      </c>
      <c r="F41" s="13">
        <v>106.59002762627101</v>
      </c>
      <c r="G41" s="13">
        <v>140.44811657096071</v>
      </c>
      <c r="H41" s="128">
        <v>31.764781095098215</v>
      </c>
      <c r="I41" s="129">
        <v>0.84282214756327933</v>
      </c>
      <c r="J41" s="131">
        <v>9170</v>
      </c>
      <c r="K41" s="131">
        <v>8500</v>
      </c>
      <c r="L41" s="128">
        <v>-7.306434023991276</v>
      </c>
      <c r="M41" s="131">
        <v>19489</v>
      </c>
      <c r="N41" s="131">
        <v>20242</v>
      </c>
      <c r="O41" s="128">
        <v>3.8637179947662781</v>
      </c>
      <c r="P41" s="129">
        <v>0.40919589025172964</v>
      </c>
      <c r="Q41" s="132">
        <v>0</v>
      </c>
      <c r="R41" s="132">
        <v>0</v>
      </c>
      <c r="S41" s="104" t="s">
        <v>57</v>
      </c>
      <c r="T41" s="131">
        <v>0</v>
      </c>
      <c r="U41" s="131">
        <v>0</v>
      </c>
      <c r="V41" s="104" t="s">
        <v>57</v>
      </c>
      <c r="W41" s="104" t="s">
        <v>57</v>
      </c>
      <c r="X41" s="13">
        <v>1520.3179332</v>
      </c>
      <c r="Y41" s="13">
        <v>1058.8821564</v>
      </c>
      <c r="Z41" s="128">
        <v>-30.351268423753929</v>
      </c>
      <c r="AA41" s="13">
        <v>3592.8134325999995</v>
      </c>
      <c r="AB41" s="13">
        <v>2382.8532408000001</v>
      </c>
      <c r="AC41" s="128">
        <v>-33.677234136936285</v>
      </c>
      <c r="AD41" s="129">
        <v>0.59493134830163419</v>
      </c>
    </row>
    <row r="42" spans="1:30" ht="14.25" customHeight="1">
      <c r="A42" s="5"/>
      <c r="B42" s="106" t="s">
        <v>5</v>
      </c>
      <c r="C42" s="13">
        <v>8.0705632330000014</v>
      </c>
      <c r="D42" s="13">
        <v>16.382640743000078</v>
      </c>
      <c r="E42" s="128">
        <v>102.99253311110357</v>
      </c>
      <c r="F42" s="13">
        <v>31.187602363999986</v>
      </c>
      <c r="G42" s="13">
        <v>44.270967704000221</v>
      </c>
      <c r="H42" s="128">
        <v>41.950532738298705</v>
      </c>
      <c r="I42" s="129">
        <v>9.7372508362156593E-2</v>
      </c>
      <c r="J42" s="131">
        <v>0</v>
      </c>
      <c r="K42" s="131">
        <v>0</v>
      </c>
      <c r="L42" s="104" t="s">
        <v>57</v>
      </c>
      <c r="M42" s="131">
        <v>3</v>
      </c>
      <c r="N42" s="131">
        <v>1</v>
      </c>
      <c r="O42" s="128">
        <v>-66.666666666666657</v>
      </c>
      <c r="P42" s="129">
        <v>0.18726591760299627</v>
      </c>
      <c r="Q42" s="132">
        <v>7295</v>
      </c>
      <c r="R42" s="132">
        <v>19146</v>
      </c>
      <c r="S42" s="128">
        <v>162.45373543522962</v>
      </c>
      <c r="T42" s="131">
        <v>20734</v>
      </c>
      <c r="U42" s="131">
        <v>31322</v>
      </c>
      <c r="V42" s="128">
        <v>51.065882125976657</v>
      </c>
      <c r="W42" s="129">
        <v>0.10400213994314382</v>
      </c>
      <c r="X42" s="13">
        <v>471.04624459000001</v>
      </c>
      <c r="Y42" s="13">
        <v>666.14358238300008</v>
      </c>
      <c r="Z42" s="128">
        <v>41.41787351745333</v>
      </c>
      <c r="AA42" s="13">
        <v>1507.5033356639999</v>
      </c>
      <c r="AB42" s="13">
        <v>1828.032002856</v>
      </c>
      <c r="AC42" s="128">
        <v>21.262219433220618</v>
      </c>
      <c r="AD42" s="129">
        <v>0.5979389980496751</v>
      </c>
    </row>
    <row r="43" spans="1:30" ht="13">
      <c r="A43" s="5"/>
      <c r="B43" s="106" t="s">
        <v>6</v>
      </c>
      <c r="C43" s="13">
        <v>0</v>
      </c>
      <c r="D43" s="13">
        <v>0</v>
      </c>
      <c r="E43" s="104" t="s">
        <v>57</v>
      </c>
      <c r="F43" s="13">
        <v>0</v>
      </c>
      <c r="G43" s="13">
        <v>0</v>
      </c>
      <c r="H43" s="104" t="s">
        <v>57</v>
      </c>
      <c r="I43" s="129">
        <v>0</v>
      </c>
      <c r="J43" s="131">
        <v>0</v>
      </c>
      <c r="K43" s="131">
        <v>0</v>
      </c>
      <c r="L43" s="104" t="s">
        <v>57</v>
      </c>
      <c r="M43" s="131">
        <v>0</v>
      </c>
      <c r="N43" s="131">
        <v>0</v>
      </c>
      <c r="O43" s="104" t="s">
        <v>57</v>
      </c>
      <c r="P43" s="129">
        <v>0</v>
      </c>
      <c r="Q43" s="108">
        <v>0</v>
      </c>
      <c r="R43" s="108">
        <v>0</v>
      </c>
      <c r="S43" s="104" t="s">
        <v>57</v>
      </c>
      <c r="T43" s="131">
        <v>0</v>
      </c>
      <c r="U43" s="131">
        <v>0</v>
      </c>
      <c r="V43" s="104" t="s">
        <v>57</v>
      </c>
      <c r="W43" s="129">
        <v>0</v>
      </c>
      <c r="X43" s="13">
        <v>0</v>
      </c>
      <c r="Y43" s="13">
        <v>0</v>
      </c>
      <c r="Z43" s="104" t="s">
        <v>57</v>
      </c>
      <c r="AA43" s="13">
        <v>0</v>
      </c>
      <c r="AB43" s="13">
        <v>0</v>
      </c>
      <c r="AC43" s="104" t="s">
        <v>57</v>
      </c>
      <c r="AD43" s="129">
        <v>0</v>
      </c>
    </row>
    <row r="44" spans="1:30" ht="13">
      <c r="A44" s="5"/>
      <c r="B44" s="106" t="s">
        <v>25</v>
      </c>
      <c r="C44" s="13">
        <v>5.8993876000036603E-2</v>
      </c>
      <c r="D44" s="13">
        <v>2.1503169999999998</v>
      </c>
      <c r="E44" s="128">
        <v>3544.9834216667937</v>
      </c>
      <c r="F44" s="13">
        <v>0.26944233400020512</v>
      </c>
      <c r="G44" s="13">
        <v>3.8831540099999997</v>
      </c>
      <c r="H44" s="128">
        <v>1341.1818485795345</v>
      </c>
      <c r="I44" s="129">
        <v>0.17436330625616231</v>
      </c>
      <c r="J44" s="131">
        <v>0</v>
      </c>
      <c r="K44" s="131">
        <v>0</v>
      </c>
      <c r="L44" s="104" t="s">
        <v>57</v>
      </c>
      <c r="M44" s="131">
        <v>0</v>
      </c>
      <c r="N44" s="131">
        <v>0</v>
      </c>
      <c r="O44" s="104" t="s">
        <v>57</v>
      </c>
      <c r="P44" s="129">
        <v>0</v>
      </c>
      <c r="Q44" s="132">
        <v>39027</v>
      </c>
      <c r="R44" s="132">
        <v>23646</v>
      </c>
      <c r="S44" s="128">
        <v>-39.411176877546318</v>
      </c>
      <c r="T44" s="131">
        <v>188870</v>
      </c>
      <c r="U44" s="131">
        <v>43797</v>
      </c>
      <c r="V44" s="128">
        <v>-76.811034044580921</v>
      </c>
      <c r="W44" s="129">
        <v>0.26636816791831791</v>
      </c>
      <c r="X44" s="13">
        <v>773.71</v>
      </c>
      <c r="Y44" s="13">
        <v>126.72879999999999</v>
      </c>
      <c r="Z44" s="128">
        <v>-83.620633053728142</v>
      </c>
      <c r="AA44" s="13">
        <v>3754.07</v>
      </c>
      <c r="AB44" s="13">
        <v>203.9494</v>
      </c>
      <c r="AC44" s="128">
        <v>-94.567245682685723</v>
      </c>
      <c r="AD44" s="129">
        <v>3.136305151579586E-2</v>
      </c>
    </row>
    <row r="45" spans="1:30" ht="13">
      <c r="A45" s="5"/>
      <c r="B45" s="106"/>
      <c r="C45" s="13"/>
      <c r="D45" s="13"/>
      <c r="E45" s="128"/>
      <c r="F45" s="13"/>
      <c r="G45" s="13"/>
      <c r="H45" s="128"/>
      <c r="I45" s="129"/>
      <c r="J45" s="131"/>
      <c r="K45" s="131"/>
      <c r="L45" s="128"/>
      <c r="M45" s="131"/>
      <c r="N45" s="131"/>
      <c r="O45" s="128"/>
      <c r="P45" s="129"/>
      <c r="Q45" s="132"/>
      <c r="R45" s="132"/>
      <c r="S45" s="128"/>
      <c r="T45" s="131"/>
      <c r="U45" s="131"/>
      <c r="V45" s="128"/>
      <c r="W45" s="129"/>
      <c r="X45" s="13"/>
      <c r="Y45" s="13"/>
      <c r="Z45" s="128"/>
      <c r="AA45" s="13"/>
      <c r="AB45" s="13"/>
      <c r="AC45" s="128"/>
      <c r="AD45" s="129"/>
    </row>
    <row r="46" spans="1:30" s="24" customFormat="1" ht="15.5">
      <c r="A46" s="16">
        <v>7</v>
      </c>
      <c r="B46" s="105" t="s">
        <v>18</v>
      </c>
      <c r="C46" s="123">
        <v>383.66907146000011</v>
      </c>
      <c r="D46" s="123">
        <v>393.6608680060005</v>
      </c>
      <c r="E46" s="124">
        <v>2.6042746964142753</v>
      </c>
      <c r="F46" s="123">
        <v>758.26084534700044</v>
      </c>
      <c r="G46" s="123">
        <v>615.68305477199931</v>
      </c>
      <c r="H46" s="124">
        <v>-18.803264265841619</v>
      </c>
      <c r="I46" s="125">
        <v>0.83567966327532972</v>
      </c>
      <c r="J46" s="126">
        <v>11658</v>
      </c>
      <c r="K46" s="126">
        <v>15630</v>
      </c>
      <c r="L46" s="124">
        <v>34.071024189397839</v>
      </c>
      <c r="M46" s="126">
        <v>21272</v>
      </c>
      <c r="N46" s="126">
        <v>30280</v>
      </c>
      <c r="O46" s="124">
        <v>42.346746897329822</v>
      </c>
      <c r="P46" s="125">
        <v>0.58190718349812698</v>
      </c>
      <c r="Q46" s="126">
        <v>3309122</v>
      </c>
      <c r="R46" s="126">
        <v>3325919</v>
      </c>
      <c r="S46" s="124">
        <v>0.50759687917217922</v>
      </c>
      <c r="T46" s="126">
        <v>3394524</v>
      </c>
      <c r="U46" s="126">
        <v>3448066</v>
      </c>
      <c r="V46" s="124">
        <v>1.5773050949116871</v>
      </c>
      <c r="W46" s="125">
        <v>7.2688662309885519</v>
      </c>
      <c r="X46" s="123">
        <v>70200.842867995001</v>
      </c>
      <c r="Y46" s="123">
        <v>68736.029526603001</v>
      </c>
      <c r="Z46" s="124">
        <v>-2.0866036382873943</v>
      </c>
      <c r="AA46" s="123">
        <v>75482.558157192005</v>
      </c>
      <c r="AB46" s="123">
        <v>73925.093449527994</v>
      </c>
      <c r="AC46" s="124">
        <v>-2.0633438315916623</v>
      </c>
      <c r="AD46" s="125">
        <v>5.2832533397163992</v>
      </c>
    </row>
    <row r="47" spans="1:30" ht="13">
      <c r="A47" s="5"/>
      <c r="B47" s="106" t="s">
        <v>3</v>
      </c>
      <c r="C47" s="13">
        <v>41.311439149999941</v>
      </c>
      <c r="D47" s="13">
        <v>18.745275636000017</v>
      </c>
      <c r="E47" s="128">
        <v>-54.624491371659126</v>
      </c>
      <c r="F47" s="13">
        <v>66.575737409999917</v>
      </c>
      <c r="G47" s="13">
        <v>50.552216238</v>
      </c>
      <c r="H47" s="128">
        <v>-24.068109187166321</v>
      </c>
      <c r="I47" s="129">
        <v>0.61442941946168594</v>
      </c>
      <c r="J47" s="131">
        <v>471</v>
      </c>
      <c r="K47" s="131">
        <v>171</v>
      </c>
      <c r="L47" s="128">
        <v>-63.694267515923563</v>
      </c>
      <c r="M47" s="131">
        <v>714</v>
      </c>
      <c r="N47" s="131">
        <v>406</v>
      </c>
      <c r="O47" s="128">
        <v>-43.137254901960787</v>
      </c>
      <c r="P47" s="129">
        <v>0.16236492917529813</v>
      </c>
      <c r="Q47" s="132">
        <v>0</v>
      </c>
      <c r="R47" s="132">
        <v>0</v>
      </c>
      <c r="S47" s="104" t="s">
        <v>57</v>
      </c>
      <c r="T47" s="131">
        <v>0</v>
      </c>
      <c r="U47" s="131">
        <v>0</v>
      </c>
      <c r="V47" s="104" t="s">
        <v>57</v>
      </c>
      <c r="W47" s="104" t="s">
        <v>57</v>
      </c>
      <c r="X47" s="13">
        <v>45.215705274999927</v>
      </c>
      <c r="Y47" s="13">
        <v>20.739909803</v>
      </c>
      <c r="Z47" s="128">
        <v>-54.131181462589637</v>
      </c>
      <c r="AA47" s="13">
        <v>74.562149541999915</v>
      </c>
      <c r="AB47" s="13">
        <v>56.378488027999992</v>
      </c>
      <c r="AC47" s="128">
        <v>-24.387254962059934</v>
      </c>
      <c r="AD47" s="129">
        <v>0.74200718121724385</v>
      </c>
    </row>
    <row r="48" spans="1:30" ht="13">
      <c r="A48" s="5"/>
      <c r="B48" s="106" t="s">
        <v>4</v>
      </c>
      <c r="C48" s="13">
        <v>72.969697325000084</v>
      </c>
      <c r="D48" s="13">
        <v>115.88014774700048</v>
      </c>
      <c r="E48" s="128">
        <v>58.805849544477809</v>
      </c>
      <c r="F48" s="13">
        <v>135.41829872600039</v>
      </c>
      <c r="G48" s="13">
        <v>238.87145595499933</v>
      </c>
      <c r="H48" s="128">
        <v>76.395256920426718</v>
      </c>
      <c r="I48" s="129">
        <v>1.4334557017561769</v>
      </c>
      <c r="J48" s="131">
        <v>11181</v>
      </c>
      <c r="K48" s="131">
        <v>15452</v>
      </c>
      <c r="L48" s="128">
        <v>38.198729988373131</v>
      </c>
      <c r="M48" s="131">
        <v>20532</v>
      </c>
      <c r="N48" s="131">
        <v>29862</v>
      </c>
      <c r="O48" s="128">
        <v>45.441262419637638</v>
      </c>
      <c r="P48" s="129">
        <v>0.60366602483436171</v>
      </c>
      <c r="Q48" s="108">
        <v>0</v>
      </c>
      <c r="R48" s="108">
        <v>0</v>
      </c>
      <c r="S48" s="104" t="s">
        <v>57</v>
      </c>
      <c r="T48" s="131">
        <v>0</v>
      </c>
      <c r="U48" s="131">
        <v>0</v>
      </c>
      <c r="V48" s="104" t="s">
        <v>57</v>
      </c>
      <c r="W48" s="104" t="s">
        <v>57</v>
      </c>
      <c r="X48" s="13">
        <v>1378.3550921200001</v>
      </c>
      <c r="Y48" s="13">
        <v>1007.2717660999999</v>
      </c>
      <c r="Z48" s="128">
        <v>-26.922186317696251</v>
      </c>
      <c r="AA48" s="13">
        <v>3381.0041016499999</v>
      </c>
      <c r="AB48" s="13">
        <v>2509.5547155999998</v>
      </c>
      <c r="AC48" s="128">
        <v>-25.774869235583441</v>
      </c>
      <c r="AD48" s="129">
        <v>0.62656513839156114</v>
      </c>
    </row>
    <row r="49" spans="1:30" ht="13">
      <c r="A49" s="5"/>
      <c r="B49" s="106" t="s">
        <v>5</v>
      </c>
      <c r="C49" s="13">
        <v>174.32927239700001</v>
      </c>
      <c r="D49" s="13">
        <v>120.55291529799997</v>
      </c>
      <c r="E49" s="128">
        <v>-30.847577322834891</v>
      </c>
      <c r="F49" s="13">
        <v>459.48888741299999</v>
      </c>
      <c r="G49" s="13">
        <v>187.21100166299999</v>
      </c>
      <c r="H49" s="128">
        <v>-59.256685680250179</v>
      </c>
      <c r="I49" s="129">
        <v>0.41176431802440649</v>
      </c>
      <c r="J49" s="131">
        <v>0</v>
      </c>
      <c r="K49" s="131">
        <v>0</v>
      </c>
      <c r="L49" s="104" t="s">
        <v>57</v>
      </c>
      <c r="M49" s="131">
        <v>2</v>
      </c>
      <c r="N49" s="131">
        <v>1</v>
      </c>
      <c r="O49" s="128">
        <v>-50</v>
      </c>
      <c r="P49" s="129">
        <v>0.18726591760299627</v>
      </c>
      <c r="Q49" s="134">
        <v>3019</v>
      </c>
      <c r="R49" s="134">
        <v>3713</v>
      </c>
      <c r="S49" s="128">
        <v>22.987744286187478</v>
      </c>
      <c r="T49" s="131">
        <v>42384</v>
      </c>
      <c r="U49" s="131">
        <v>9137</v>
      </c>
      <c r="V49" s="128">
        <v>-78.442336730841816</v>
      </c>
      <c r="W49" s="129">
        <v>3.0338661409249252E-2</v>
      </c>
      <c r="X49" s="13">
        <v>647.63799749999998</v>
      </c>
      <c r="Y49" s="13">
        <v>829.50935750000019</v>
      </c>
      <c r="Z49" s="128">
        <v>28.082255936504129</v>
      </c>
      <c r="AA49" s="13">
        <v>1302.4875389000001</v>
      </c>
      <c r="AB49" s="13">
        <v>2088.6769215999993</v>
      </c>
      <c r="AC49" s="128">
        <v>60.36060685570672</v>
      </c>
      <c r="AD49" s="129">
        <v>0.68319448663906313</v>
      </c>
    </row>
    <row r="50" spans="1:30" ht="13">
      <c r="A50" s="5"/>
      <c r="B50" s="106" t="s">
        <v>6</v>
      </c>
      <c r="C50" s="13">
        <v>0.16722753300000001</v>
      </c>
      <c r="D50" s="13">
        <v>8.3248024000000018E-2</v>
      </c>
      <c r="E50" s="128">
        <v>-50.218709499230599</v>
      </c>
      <c r="F50" s="13">
        <v>0.69469979199999998</v>
      </c>
      <c r="G50" s="13">
        <v>0.17298388700000003</v>
      </c>
      <c r="H50" s="128">
        <v>-75.099476206551103</v>
      </c>
      <c r="I50" s="129">
        <v>1.586461183746565E-2</v>
      </c>
      <c r="J50" s="131">
        <v>0</v>
      </c>
      <c r="K50" s="131">
        <v>0</v>
      </c>
      <c r="L50" s="104" t="s">
        <v>57</v>
      </c>
      <c r="M50" s="131">
        <v>0</v>
      </c>
      <c r="N50" s="131">
        <v>0</v>
      </c>
      <c r="O50" s="104" t="s">
        <v>57</v>
      </c>
      <c r="P50" s="129">
        <v>0</v>
      </c>
      <c r="Q50" s="132">
        <v>208</v>
      </c>
      <c r="R50" s="132">
        <v>48</v>
      </c>
      <c r="S50" s="128">
        <v>-76.923076923076934</v>
      </c>
      <c r="T50" s="131">
        <v>703</v>
      </c>
      <c r="U50" s="131">
        <v>117</v>
      </c>
      <c r="V50" s="128">
        <v>-83.357041251778099</v>
      </c>
      <c r="W50" s="129">
        <v>1.3339064190541122E-2</v>
      </c>
      <c r="X50" s="13">
        <v>47.327205899999996</v>
      </c>
      <c r="Y50" s="13">
        <v>20.954241199999998</v>
      </c>
      <c r="Z50" s="128">
        <v>-55.72474478152111</v>
      </c>
      <c r="AA50" s="13">
        <v>166.65655589999997</v>
      </c>
      <c r="AB50" s="13">
        <v>53.821433200000001</v>
      </c>
      <c r="AC50" s="128">
        <v>-67.705180927718899</v>
      </c>
      <c r="AD50" s="129">
        <v>0.15332551975012776</v>
      </c>
    </row>
    <row r="51" spans="1:30" ht="13">
      <c r="A51" s="5"/>
      <c r="B51" s="106" t="s">
        <v>25</v>
      </c>
      <c r="C51" s="13">
        <v>94.891435055000045</v>
      </c>
      <c r="D51" s="13">
        <v>138.39928130100003</v>
      </c>
      <c r="E51" s="128">
        <v>45.850129909809453</v>
      </c>
      <c r="F51" s="13">
        <v>96.083222006000057</v>
      </c>
      <c r="G51" s="13">
        <v>138.87539702900003</v>
      </c>
      <c r="H51" s="128">
        <v>44.536573742632974</v>
      </c>
      <c r="I51" s="129">
        <v>6.2358519186349932</v>
      </c>
      <c r="J51" s="131">
        <v>6</v>
      </c>
      <c r="K51" s="131">
        <v>7</v>
      </c>
      <c r="L51" s="128">
        <v>16.666666666666664</v>
      </c>
      <c r="M51" s="131">
        <v>24</v>
      </c>
      <c r="N51" s="131">
        <v>11</v>
      </c>
      <c r="O51" s="128">
        <v>-54.166666666666664</v>
      </c>
      <c r="P51" s="129">
        <v>0.22375915378356387</v>
      </c>
      <c r="Q51" s="131">
        <v>3305895</v>
      </c>
      <c r="R51" s="131">
        <v>3322158</v>
      </c>
      <c r="S51" s="128">
        <v>0.49193939916422025</v>
      </c>
      <c r="T51" s="131">
        <v>3351437</v>
      </c>
      <c r="U51" s="131">
        <v>3438812</v>
      </c>
      <c r="V51" s="128">
        <v>2.6070906300789778</v>
      </c>
      <c r="W51" s="129">
        <v>20.914447388075132</v>
      </c>
      <c r="X51" s="13">
        <v>68082.306867200008</v>
      </c>
      <c r="Y51" s="13">
        <v>66857.554252000002</v>
      </c>
      <c r="Z51" s="128">
        <v>-1.7989293717514367</v>
      </c>
      <c r="AA51" s="13">
        <v>70557.847811200001</v>
      </c>
      <c r="AB51" s="13">
        <v>69216.661891099997</v>
      </c>
      <c r="AC51" s="128">
        <v>-1.9008316745839164</v>
      </c>
      <c r="AD51" s="129">
        <v>10.644040789735069</v>
      </c>
    </row>
    <row r="52" spans="1:30" ht="13">
      <c r="A52" s="5"/>
      <c r="B52" s="106"/>
      <c r="C52" s="13"/>
      <c r="D52" s="13"/>
      <c r="E52" s="128"/>
      <c r="F52" s="13"/>
      <c r="G52" s="13"/>
      <c r="H52" s="128"/>
      <c r="I52" s="129"/>
      <c r="J52" s="131"/>
      <c r="K52" s="131"/>
      <c r="L52" s="128"/>
      <c r="M52" s="131"/>
      <c r="N52" s="131"/>
      <c r="O52" s="128"/>
      <c r="P52" s="129"/>
      <c r="Q52" s="132"/>
      <c r="R52" s="132"/>
      <c r="S52" s="128"/>
      <c r="T52" s="131"/>
      <c r="U52" s="131"/>
      <c r="V52" s="128"/>
      <c r="W52" s="129"/>
      <c r="X52" s="13"/>
      <c r="Y52" s="13"/>
      <c r="Z52" s="128"/>
      <c r="AA52" s="13"/>
      <c r="AB52" s="13"/>
      <c r="AC52" s="128"/>
      <c r="AD52" s="129"/>
    </row>
    <row r="53" spans="1:30" s="24" customFormat="1" ht="15.5">
      <c r="A53" s="16">
        <v>8</v>
      </c>
      <c r="B53" s="105" t="s">
        <v>59</v>
      </c>
      <c r="C53" s="123">
        <v>27.964273013999971</v>
      </c>
      <c r="D53" s="123">
        <v>34.150107706999975</v>
      </c>
      <c r="E53" s="124">
        <v>22.120491707054718</v>
      </c>
      <c r="F53" s="123">
        <v>65.660093939000063</v>
      </c>
      <c r="G53" s="123">
        <v>76.509859260000042</v>
      </c>
      <c r="H53" s="124">
        <v>16.524139199495654</v>
      </c>
      <c r="I53" s="125">
        <v>0.1038484540512768</v>
      </c>
      <c r="J53" s="126">
        <v>5370</v>
      </c>
      <c r="K53" s="126">
        <v>3789</v>
      </c>
      <c r="L53" s="124">
        <v>-29.441340782122904</v>
      </c>
      <c r="M53" s="126">
        <v>11440</v>
      </c>
      <c r="N53" s="126">
        <v>11536</v>
      </c>
      <c r="O53" s="124">
        <v>0.83916083916083917</v>
      </c>
      <c r="P53" s="125">
        <v>0.22169356898396278</v>
      </c>
      <c r="Q53" s="126">
        <v>12017</v>
      </c>
      <c r="R53" s="126">
        <v>4306</v>
      </c>
      <c r="S53" s="124">
        <v>-64.167429474910548</v>
      </c>
      <c r="T53" s="126">
        <v>37568</v>
      </c>
      <c r="U53" s="126">
        <v>11664</v>
      </c>
      <c r="V53" s="124">
        <v>-68.952299829642243</v>
      </c>
      <c r="W53" s="125">
        <v>2.458887263708133E-2</v>
      </c>
      <c r="X53" s="123">
        <v>1256.6428799852365</v>
      </c>
      <c r="Y53" s="123">
        <v>723.57028047692347</v>
      </c>
      <c r="Z53" s="124">
        <v>-42.420373202176243</v>
      </c>
      <c r="AA53" s="123">
        <v>3412.3178973007498</v>
      </c>
      <c r="AB53" s="123">
        <v>2806.9620104412311</v>
      </c>
      <c r="AC53" s="124">
        <v>-17.740313331837402</v>
      </c>
      <c r="AD53" s="125">
        <v>0.20060700263092299</v>
      </c>
    </row>
    <row r="54" spans="1:30" ht="13">
      <c r="A54" s="5"/>
      <c r="B54" s="106" t="s">
        <v>3</v>
      </c>
      <c r="C54" s="13">
        <v>1.2739260000000001</v>
      </c>
      <c r="D54" s="13">
        <v>2.4765019000000001</v>
      </c>
      <c r="E54" s="128">
        <v>94.399195871659728</v>
      </c>
      <c r="F54" s="13">
        <v>4.781940399999983</v>
      </c>
      <c r="G54" s="13">
        <v>6.1557175999999982</v>
      </c>
      <c r="H54" s="128">
        <v>28.728446720080829</v>
      </c>
      <c r="I54" s="129">
        <v>7.4818757174388115E-2</v>
      </c>
      <c r="J54" s="131">
        <v>27</v>
      </c>
      <c r="K54" s="131">
        <v>21</v>
      </c>
      <c r="L54" s="128">
        <v>-22.222222222222221</v>
      </c>
      <c r="M54" s="131">
        <v>386</v>
      </c>
      <c r="N54" s="131">
        <v>69</v>
      </c>
      <c r="O54" s="128">
        <v>-82.124352331606218</v>
      </c>
      <c r="P54" s="129">
        <v>2.7594039687427515E-2</v>
      </c>
      <c r="Q54" s="131">
        <v>0</v>
      </c>
      <c r="R54" s="131">
        <v>0</v>
      </c>
      <c r="S54" s="104" t="s">
        <v>57</v>
      </c>
      <c r="T54" s="131">
        <v>0</v>
      </c>
      <c r="U54" s="131">
        <v>0</v>
      </c>
      <c r="V54" s="104" t="s">
        <v>57</v>
      </c>
      <c r="W54" s="104" t="s">
        <v>57</v>
      </c>
      <c r="X54" s="13">
        <v>1.4927260000000002</v>
      </c>
      <c r="Y54" s="13">
        <v>13.886187999999999</v>
      </c>
      <c r="Z54" s="128">
        <v>830.25699291095611</v>
      </c>
      <c r="AA54" s="13">
        <v>8.7522223000000352</v>
      </c>
      <c r="AB54" s="13">
        <v>18.727893100000006</v>
      </c>
      <c r="AC54" s="128">
        <v>113.97871829649404</v>
      </c>
      <c r="AD54" s="129">
        <v>0.24648108977962316</v>
      </c>
    </row>
    <row r="55" spans="1:30" ht="13">
      <c r="A55" s="5"/>
      <c r="B55" s="106" t="s">
        <v>4</v>
      </c>
      <c r="C55" s="13">
        <v>25.960593510999946</v>
      </c>
      <c r="D55" s="13">
        <v>31.399626654999977</v>
      </c>
      <c r="E55" s="128">
        <v>20.951112468578273</v>
      </c>
      <c r="F55" s="13">
        <v>57.262639056999909</v>
      </c>
      <c r="G55" s="13">
        <v>67.756887883000076</v>
      </c>
      <c r="H55" s="128">
        <v>18.326519697344139</v>
      </c>
      <c r="I55" s="129">
        <v>0.4066057071609176</v>
      </c>
      <c r="J55" s="131">
        <v>5343</v>
      </c>
      <c r="K55" s="131">
        <v>3768</v>
      </c>
      <c r="L55" s="128">
        <v>-29.477821448624368</v>
      </c>
      <c r="M55" s="131">
        <v>11050</v>
      </c>
      <c r="N55" s="131">
        <v>11466</v>
      </c>
      <c r="O55" s="128">
        <v>3.7647058823529407</v>
      </c>
      <c r="P55" s="129">
        <v>0.23178737662416424</v>
      </c>
      <c r="Q55" s="134">
        <v>0</v>
      </c>
      <c r="R55" s="134">
        <v>0</v>
      </c>
      <c r="S55" s="104" t="s">
        <v>57</v>
      </c>
      <c r="T55" s="131">
        <v>0</v>
      </c>
      <c r="U55" s="131">
        <v>0</v>
      </c>
      <c r="V55" s="104" t="s">
        <v>57</v>
      </c>
      <c r="W55" s="104" t="s">
        <v>57</v>
      </c>
      <c r="X55" s="13">
        <v>1003.8363382000031</v>
      </c>
      <c r="Y55" s="13">
        <v>683.03633500000024</v>
      </c>
      <c r="Z55" s="128">
        <v>-31.957400922070136</v>
      </c>
      <c r="AA55" s="13">
        <v>2359.9371425000149</v>
      </c>
      <c r="AB55" s="13">
        <v>2597.9293202000035</v>
      </c>
      <c r="AC55" s="128">
        <v>10.084682910150311</v>
      </c>
      <c r="AD55" s="129">
        <v>0.64862978835407925</v>
      </c>
    </row>
    <row r="56" spans="1:30" ht="13">
      <c r="A56" s="5"/>
      <c r="B56" s="106" t="s">
        <v>5</v>
      </c>
      <c r="C56" s="13">
        <v>0.62889015300002438</v>
      </c>
      <c r="D56" s="13">
        <v>0.28011775799999628</v>
      </c>
      <c r="E56" s="128">
        <v>-55.458396563575164</v>
      </c>
      <c r="F56" s="13">
        <v>3.0861159000001739</v>
      </c>
      <c r="G56" s="13">
        <v>2.4006007969999619</v>
      </c>
      <c r="H56" s="128">
        <v>-22.212876159322899</v>
      </c>
      <c r="I56" s="129">
        <v>5.2800409230484751E-3</v>
      </c>
      <c r="J56" s="131">
        <v>0</v>
      </c>
      <c r="K56" s="131">
        <v>0</v>
      </c>
      <c r="L56" s="104" t="s">
        <v>57</v>
      </c>
      <c r="M56" s="131">
        <v>0</v>
      </c>
      <c r="N56" s="131">
        <v>0</v>
      </c>
      <c r="O56" s="104" t="s">
        <v>57</v>
      </c>
      <c r="P56" s="129">
        <v>0</v>
      </c>
      <c r="Q56" s="134">
        <v>11209</v>
      </c>
      <c r="R56" s="134">
        <v>4264</v>
      </c>
      <c r="S56" s="128">
        <v>-61.959139976804359</v>
      </c>
      <c r="T56" s="131">
        <v>30159</v>
      </c>
      <c r="U56" s="131">
        <v>9916</v>
      </c>
      <c r="V56" s="128">
        <v>-67.120925760137936</v>
      </c>
      <c r="W56" s="129">
        <v>3.2925267213977844E-2</v>
      </c>
      <c r="X56" s="13">
        <v>52.382883600002785</v>
      </c>
      <c r="Y56" s="13">
        <v>24.003588200000241</v>
      </c>
      <c r="Z56" s="128">
        <v>-54.176657430140096</v>
      </c>
      <c r="AA56" s="13">
        <v>182.0826497999654</v>
      </c>
      <c r="AB56" s="13">
        <v>66.782049299996828</v>
      </c>
      <c r="AC56" s="128">
        <v>-63.323221969054664</v>
      </c>
      <c r="AD56" s="129">
        <v>2.1844033137142869E-2</v>
      </c>
    </row>
    <row r="57" spans="1:30" ht="13">
      <c r="A57" s="5"/>
      <c r="B57" s="106" t="s">
        <v>6</v>
      </c>
      <c r="C57" s="13">
        <v>0</v>
      </c>
      <c r="D57" s="13">
        <v>0</v>
      </c>
      <c r="E57" s="104" t="s">
        <v>57</v>
      </c>
      <c r="F57" s="13">
        <v>0</v>
      </c>
      <c r="G57" s="13">
        <v>0</v>
      </c>
      <c r="H57" s="104" t="s">
        <v>57</v>
      </c>
      <c r="I57" s="129">
        <v>0</v>
      </c>
      <c r="J57" s="131">
        <v>0</v>
      </c>
      <c r="K57" s="131">
        <v>0</v>
      </c>
      <c r="L57" s="104" t="s">
        <v>57</v>
      </c>
      <c r="M57" s="131">
        <v>0</v>
      </c>
      <c r="N57" s="131">
        <v>0</v>
      </c>
      <c r="O57" s="104" t="s">
        <v>57</v>
      </c>
      <c r="P57" s="129">
        <v>0</v>
      </c>
      <c r="Q57" s="134">
        <v>0</v>
      </c>
      <c r="R57" s="134">
        <v>0</v>
      </c>
      <c r="S57" s="104" t="s">
        <v>57</v>
      </c>
      <c r="T57" s="131">
        <v>0</v>
      </c>
      <c r="U57" s="131">
        <v>0</v>
      </c>
      <c r="V57" s="104" t="s">
        <v>57</v>
      </c>
      <c r="W57" s="129">
        <v>0</v>
      </c>
      <c r="X57" s="13">
        <v>0</v>
      </c>
      <c r="Y57" s="13">
        <v>0</v>
      </c>
      <c r="Z57" s="104" t="s">
        <v>57</v>
      </c>
      <c r="AA57" s="13">
        <v>0</v>
      </c>
      <c r="AB57" s="13">
        <v>0</v>
      </c>
      <c r="AC57" s="104" t="s">
        <v>57</v>
      </c>
      <c r="AD57" s="129">
        <v>0</v>
      </c>
    </row>
    <row r="58" spans="1:30" ht="13">
      <c r="A58" s="5"/>
      <c r="B58" s="106" t="s">
        <v>25</v>
      </c>
      <c r="C58" s="13">
        <v>0.10086334999999998</v>
      </c>
      <c r="D58" s="13">
        <v>-6.1386060000000065E-3</v>
      </c>
      <c r="E58" s="128">
        <v>-106.08606198386232</v>
      </c>
      <c r="F58" s="13">
        <v>0.52939858200000034</v>
      </c>
      <c r="G58" s="13">
        <v>0.19665298000000001</v>
      </c>
      <c r="H58" s="128">
        <v>-62.853512138799076</v>
      </c>
      <c r="I58" s="129">
        <v>8.8302095898398231E-3</v>
      </c>
      <c r="J58" s="131">
        <v>0</v>
      </c>
      <c r="K58" s="131">
        <v>0</v>
      </c>
      <c r="L58" s="104" t="s">
        <v>57</v>
      </c>
      <c r="M58" s="131">
        <v>4</v>
      </c>
      <c r="N58" s="131">
        <v>1</v>
      </c>
      <c r="O58" s="128">
        <v>-75</v>
      </c>
      <c r="P58" s="129">
        <v>2.034174125305126E-2</v>
      </c>
      <c r="Q58" s="134">
        <v>808</v>
      </c>
      <c r="R58" s="134">
        <v>42</v>
      </c>
      <c r="S58" s="128">
        <v>-94.801980198019791</v>
      </c>
      <c r="T58" s="131">
        <v>7409</v>
      </c>
      <c r="U58" s="131">
        <v>1748</v>
      </c>
      <c r="V58" s="128">
        <v>-76.407072479416925</v>
      </c>
      <c r="W58" s="129">
        <v>1.0631129016170507E-2</v>
      </c>
      <c r="X58" s="13">
        <v>198.93093218523072</v>
      </c>
      <c r="Y58" s="13">
        <v>2.6441692769230758</v>
      </c>
      <c r="Z58" s="128">
        <v>-98.670810392392369</v>
      </c>
      <c r="AA58" s="13">
        <v>861.54588270076897</v>
      </c>
      <c r="AB58" s="13">
        <v>123.52274784123078</v>
      </c>
      <c r="AC58" s="128">
        <v>-85.662661696668735</v>
      </c>
      <c r="AD58" s="129">
        <v>1.8995154209412644E-2</v>
      </c>
    </row>
    <row r="59" spans="1:30" ht="13">
      <c r="A59" s="5"/>
      <c r="B59" s="106"/>
      <c r="C59" s="13"/>
      <c r="D59" s="13"/>
      <c r="E59" s="128"/>
      <c r="F59" s="13"/>
      <c r="G59" s="13"/>
      <c r="H59" s="128"/>
      <c r="I59" s="129"/>
      <c r="J59" s="131"/>
      <c r="K59" s="131"/>
      <c r="L59" s="128"/>
      <c r="M59" s="131"/>
      <c r="N59" s="131"/>
      <c r="O59" s="128"/>
      <c r="P59" s="129"/>
      <c r="Q59" s="134"/>
      <c r="R59" s="134"/>
      <c r="S59" s="128"/>
      <c r="T59" s="131"/>
      <c r="U59" s="131"/>
      <c r="V59" s="128"/>
      <c r="W59" s="129"/>
      <c r="X59" s="13"/>
      <c r="Y59" s="13"/>
      <c r="Z59" s="128"/>
      <c r="AA59" s="13"/>
      <c r="AB59" s="13"/>
      <c r="AC59" s="128"/>
      <c r="AD59" s="129"/>
    </row>
    <row r="60" spans="1:30" s="25" customFormat="1" ht="15.5">
      <c r="A60" s="16">
        <v>9</v>
      </c>
      <c r="B60" s="105" t="s">
        <v>20</v>
      </c>
      <c r="C60" s="123">
        <v>75.757254011548852</v>
      </c>
      <c r="D60" s="123">
        <v>66.046464710451289</v>
      </c>
      <c r="E60" s="124">
        <v>-12.818296317362817</v>
      </c>
      <c r="F60" s="123">
        <v>163.61419499029665</v>
      </c>
      <c r="G60" s="123">
        <v>173.41148816794933</v>
      </c>
      <c r="H60" s="124">
        <v>5.9880459505568684</v>
      </c>
      <c r="I60" s="125">
        <v>0.23537508936953186</v>
      </c>
      <c r="J60" s="126">
        <v>9563</v>
      </c>
      <c r="K60" s="126">
        <v>9827</v>
      </c>
      <c r="L60" s="124">
        <v>2.7606399665376973</v>
      </c>
      <c r="M60" s="126">
        <v>20727</v>
      </c>
      <c r="N60" s="126">
        <v>24274</v>
      </c>
      <c r="O60" s="124">
        <v>17.112944468567569</v>
      </c>
      <c r="P60" s="125">
        <v>0.4664866239178842</v>
      </c>
      <c r="Q60" s="126">
        <v>29912</v>
      </c>
      <c r="R60" s="126">
        <v>10367</v>
      </c>
      <c r="S60" s="124">
        <v>-65.341668895426579</v>
      </c>
      <c r="T60" s="126">
        <v>188269</v>
      </c>
      <c r="U60" s="126">
        <v>46225</v>
      </c>
      <c r="V60" s="124">
        <v>-75.447365206167774</v>
      </c>
      <c r="W60" s="125">
        <v>9.7446899661272679E-2</v>
      </c>
      <c r="X60" s="123">
        <v>13272.697291599434</v>
      </c>
      <c r="Y60" s="123">
        <v>6260.3772817240006</v>
      </c>
      <c r="Z60" s="124">
        <v>-52.832667360790907</v>
      </c>
      <c r="AA60" s="123">
        <v>23420.388139369948</v>
      </c>
      <c r="AB60" s="123">
        <v>23137.533978385</v>
      </c>
      <c r="AC60" s="124">
        <v>-1.2077261884036319</v>
      </c>
      <c r="AD60" s="125">
        <v>1.653585378929064</v>
      </c>
    </row>
    <row r="61" spans="1:30" s="26" customFormat="1" ht="13">
      <c r="A61" s="5"/>
      <c r="B61" s="106" t="s">
        <v>3</v>
      </c>
      <c r="C61" s="13">
        <v>11.107738470999999</v>
      </c>
      <c r="D61" s="13">
        <v>8.6404623889999996</v>
      </c>
      <c r="E61" s="128">
        <v>-22.21222698429159</v>
      </c>
      <c r="F61" s="13">
        <v>34.499614907000002</v>
      </c>
      <c r="G61" s="13">
        <v>20.649634137000003</v>
      </c>
      <c r="H61" s="128">
        <v>-40.145319903816741</v>
      </c>
      <c r="I61" s="129">
        <v>0.25098291744835066</v>
      </c>
      <c r="J61" s="131">
        <v>99</v>
      </c>
      <c r="K61" s="131">
        <v>82</v>
      </c>
      <c r="L61" s="128">
        <v>-17.171717171717169</v>
      </c>
      <c r="M61" s="131">
        <v>221</v>
      </c>
      <c r="N61" s="131">
        <v>224</v>
      </c>
      <c r="O61" s="128">
        <v>1.3574660633484164</v>
      </c>
      <c r="P61" s="129">
        <v>8.9580650579474827E-2</v>
      </c>
      <c r="Q61" s="134">
        <v>0</v>
      </c>
      <c r="R61" s="134">
        <v>0</v>
      </c>
      <c r="S61" s="104" t="s">
        <v>57</v>
      </c>
      <c r="T61" s="131">
        <v>0</v>
      </c>
      <c r="U61" s="131">
        <v>0</v>
      </c>
      <c r="V61" s="104" t="s">
        <v>57</v>
      </c>
      <c r="W61" s="104" t="s">
        <v>57</v>
      </c>
      <c r="X61" s="13">
        <v>1.9615387999999998</v>
      </c>
      <c r="Y61" s="13">
        <v>0.79367599999999994</v>
      </c>
      <c r="Z61" s="128">
        <v>-59.538093256172154</v>
      </c>
      <c r="AA61" s="13">
        <v>3.7816408999999997</v>
      </c>
      <c r="AB61" s="13">
        <v>3.4701594</v>
      </c>
      <c r="AC61" s="128">
        <v>-8.2366757774383021</v>
      </c>
      <c r="AD61" s="129">
        <v>4.5671377236823442E-2</v>
      </c>
    </row>
    <row r="62" spans="1:30" s="26" customFormat="1" ht="13">
      <c r="A62" s="5"/>
      <c r="B62" s="106" t="s">
        <v>4</v>
      </c>
      <c r="C62" s="13">
        <v>47.359261844000002</v>
      </c>
      <c r="D62" s="13">
        <v>52.287941013000001</v>
      </c>
      <c r="E62" s="128">
        <v>10.407001665766922</v>
      </c>
      <c r="F62" s="13">
        <v>93.814416901000016</v>
      </c>
      <c r="G62" s="13">
        <v>128.32723730999999</v>
      </c>
      <c r="H62" s="128">
        <v>36.788397294437672</v>
      </c>
      <c r="I62" s="129">
        <v>0.77008535522675359</v>
      </c>
      <c r="J62" s="131">
        <v>9463</v>
      </c>
      <c r="K62" s="131">
        <v>9744</v>
      </c>
      <c r="L62" s="128">
        <v>2.9694600021134945</v>
      </c>
      <c r="M62" s="131">
        <v>20501</v>
      </c>
      <c r="N62" s="131">
        <v>24040</v>
      </c>
      <c r="O62" s="128">
        <v>17.262572557436222</v>
      </c>
      <c r="P62" s="129">
        <v>0.48597318454952976</v>
      </c>
      <c r="Q62" s="134">
        <v>0</v>
      </c>
      <c r="R62" s="134">
        <v>0</v>
      </c>
      <c r="S62" s="104" t="s">
        <v>57</v>
      </c>
      <c r="T62" s="131">
        <v>0</v>
      </c>
      <c r="U62" s="131">
        <v>0</v>
      </c>
      <c r="V62" s="104" t="s">
        <v>57</v>
      </c>
      <c r="W62" s="104" t="s">
        <v>57</v>
      </c>
      <c r="X62" s="13">
        <v>1166.0273761000001</v>
      </c>
      <c r="Y62" s="13">
        <v>829.46197723900013</v>
      </c>
      <c r="Z62" s="128">
        <v>-28.864279326503194</v>
      </c>
      <c r="AA62" s="13">
        <v>2445.9864703000003</v>
      </c>
      <c r="AB62" s="13">
        <v>2001.2972768769998</v>
      </c>
      <c r="AC62" s="128">
        <v>-18.180361944866331</v>
      </c>
      <c r="AD62" s="129">
        <v>0.49966756949122404</v>
      </c>
    </row>
    <row r="63" spans="1:30" s="26" customFormat="1" ht="13">
      <c r="A63" s="5"/>
      <c r="B63" s="106" t="s">
        <v>5</v>
      </c>
      <c r="C63" s="13">
        <v>1.54904E-2</v>
      </c>
      <c r="D63" s="13">
        <v>1.6316600000000001E-2</v>
      </c>
      <c r="E63" s="128">
        <v>5.3336259877085217</v>
      </c>
      <c r="F63" s="13">
        <v>0.15807260000000001</v>
      </c>
      <c r="G63" s="13">
        <v>4.3538899999999998E-2</v>
      </c>
      <c r="H63" s="128">
        <v>-72.456390291549582</v>
      </c>
      <c r="I63" s="129">
        <v>9.5762350004967902E-5</v>
      </c>
      <c r="J63" s="131">
        <v>0</v>
      </c>
      <c r="K63" s="131">
        <v>0</v>
      </c>
      <c r="L63" s="104" t="s">
        <v>57</v>
      </c>
      <c r="M63" s="131">
        <v>0</v>
      </c>
      <c r="N63" s="131">
        <v>0</v>
      </c>
      <c r="O63" s="104" t="s">
        <v>57</v>
      </c>
      <c r="P63" s="129">
        <v>0</v>
      </c>
      <c r="Q63" s="131">
        <v>21</v>
      </c>
      <c r="R63" s="131">
        <v>23</v>
      </c>
      <c r="S63" s="128">
        <v>9.5238095238095237</v>
      </c>
      <c r="T63" s="131">
        <v>983</v>
      </c>
      <c r="U63" s="131">
        <v>69</v>
      </c>
      <c r="V63" s="128">
        <v>-92.980671414038667</v>
      </c>
      <c r="W63" s="129">
        <v>2.2910885818520284E-4</v>
      </c>
      <c r="X63" s="13">
        <v>0.93500000000000005</v>
      </c>
      <c r="Y63" s="13">
        <v>1.0609999999999999</v>
      </c>
      <c r="Z63" s="128">
        <v>13.475935828876992</v>
      </c>
      <c r="AA63" s="13">
        <v>13.18</v>
      </c>
      <c r="AB63" s="13">
        <v>3.3782201999999999</v>
      </c>
      <c r="AC63" s="128">
        <v>-74.368587253414262</v>
      </c>
      <c r="AD63" s="129">
        <v>1.1049968482079646E-3</v>
      </c>
    </row>
    <row r="64" spans="1:30" s="26" customFormat="1" ht="13">
      <c r="A64" s="5"/>
      <c r="B64" s="106" t="s">
        <v>6</v>
      </c>
      <c r="C64" s="13">
        <v>1.1799909</v>
      </c>
      <c r="D64" s="13">
        <v>0.70631082100000331</v>
      </c>
      <c r="E64" s="128">
        <v>-40.142689151246564</v>
      </c>
      <c r="F64" s="13">
        <v>12.71934919588</v>
      </c>
      <c r="G64" s="13">
        <v>2.9212458180000032</v>
      </c>
      <c r="H64" s="128">
        <v>-77.033055913377694</v>
      </c>
      <c r="I64" s="129">
        <v>0.26791183727065787</v>
      </c>
      <c r="J64" s="131">
        <v>1</v>
      </c>
      <c r="K64" s="131">
        <v>1</v>
      </c>
      <c r="L64" s="128">
        <v>0</v>
      </c>
      <c r="M64" s="131">
        <v>5</v>
      </c>
      <c r="N64" s="131">
        <v>10</v>
      </c>
      <c r="O64" s="128">
        <v>100</v>
      </c>
      <c r="P64" s="129">
        <v>0.76923076923076927</v>
      </c>
      <c r="Q64" s="109">
        <v>2343</v>
      </c>
      <c r="R64" s="109">
        <v>3177</v>
      </c>
      <c r="S64" s="128">
        <v>35.595390524967989</v>
      </c>
      <c r="T64" s="131">
        <v>39780</v>
      </c>
      <c r="U64" s="131">
        <v>7905</v>
      </c>
      <c r="V64" s="128">
        <v>-80.128205128205138</v>
      </c>
      <c r="W64" s="129">
        <v>0.90124190107886815</v>
      </c>
      <c r="X64" s="13">
        <v>0.23430000000000001</v>
      </c>
      <c r="Y64" s="13">
        <v>464.17267340000001</v>
      </c>
      <c r="Z64" s="128">
        <v>198010.4026461801</v>
      </c>
      <c r="AA64" s="13">
        <v>2460.3323298999999</v>
      </c>
      <c r="AB64" s="13">
        <v>915.52631869999993</v>
      </c>
      <c r="AC64" s="128">
        <v>-62.788510008434038</v>
      </c>
      <c r="AD64" s="129">
        <v>2.6081347209386205</v>
      </c>
    </row>
    <row r="65" spans="1:30" s="26" customFormat="1" ht="13">
      <c r="A65" s="5"/>
      <c r="B65" s="106" t="s">
        <v>25</v>
      </c>
      <c r="C65" s="13">
        <v>16.094772396548851</v>
      </c>
      <c r="D65" s="13">
        <v>4.3954338874512766</v>
      </c>
      <c r="E65" s="128">
        <v>-72.690301054559967</v>
      </c>
      <c r="F65" s="13">
        <v>22.422741386416661</v>
      </c>
      <c r="G65" s="13">
        <v>21.469832002949346</v>
      </c>
      <c r="H65" s="128">
        <v>-4.2497452342940196</v>
      </c>
      <c r="I65" s="129">
        <v>0.96404903930107366</v>
      </c>
      <c r="J65" s="131">
        <v>0</v>
      </c>
      <c r="K65" s="131">
        <v>0</v>
      </c>
      <c r="L65" s="104" t="s">
        <v>57</v>
      </c>
      <c r="M65" s="131">
        <v>0</v>
      </c>
      <c r="N65" s="131">
        <v>0</v>
      </c>
      <c r="O65" s="104" t="s">
        <v>57</v>
      </c>
      <c r="P65" s="129">
        <v>0</v>
      </c>
      <c r="Q65" s="132">
        <v>27548</v>
      </c>
      <c r="R65" s="132">
        <v>7167</v>
      </c>
      <c r="S65" s="128">
        <v>-73.983592275301291</v>
      </c>
      <c r="T65" s="131">
        <v>147506</v>
      </c>
      <c r="U65" s="131">
        <v>38251</v>
      </c>
      <c r="V65" s="128">
        <v>-74.068173498027207</v>
      </c>
      <c r="W65" s="129">
        <v>0.23263805263017051</v>
      </c>
      <c r="X65" s="13">
        <v>12103.539076699433</v>
      </c>
      <c r="Y65" s="13">
        <v>4964.8879550849997</v>
      </c>
      <c r="Z65" s="128">
        <v>-58.979865941500343</v>
      </c>
      <c r="AA65" s="13">
        <v>18497.107698269949</v>
      </c>
      <c r="AB65" s="13">
        <v>20213.862003208</v>
      </c>
      <c r="AC65" s="128">
        <v>9.2812040289878439</v>
      </c>
      <c r="AD65" s="129">
        <v>3.1084592322399627</v>
      </c>
    </row>
    <row r="66" spans="1:30" s="26" customFormat="1" ht="13">
      <c r="A66" s="5"/>
      <c r="B66" s="106"/>
      <c r="C66" s="13"/>
      <c r="D66" s="13"/>
      <c r="E66" s="128"/>
      <c r="F66" s="13"/>
      <c r="G66" s="13"/>
      <c r="H66" s="128"/>
      <c r="I66" s="129"/>
      <c r="J66" s="131"/>
      <c r="K66" s="131"/>
      <c r="L66" s="128"/>
      <c r="M66" s="131"/>
      <c r="N66" s="131"/>
      <c r="O66" s="128"/>
      <c r="P66" s="129"/>
      <c r="Q66" s="132"/>
      <c r="R66" s="132"/>
      <c r="S66" s="128"/>
      <c r="T66" s="131"/>
      <c r="U66" s="131"/>
      <c r="V66" s="128"/>
      <c r="W66" s="129"/>
      <c r="X66" s="13"/>
      <c r="Y66" s="13"/>
      <c r="Z66" s="128"/>
      <c r="AA66" s="13"/>
      <c r="AB66" s="13"/>
      <c r="AC66" s="128"/>
      <c r="AD66" s="129"/>
    </row>
    <row r="67" spans="1:30" s="27" customFormat="1" ht="15.5">
      <c r="A67" s="17">
        <v>10</v>
      </c>
      <c r="B67" s="105" t="s">
        <v>17</v>
      </c>
      <c r="C67" s="123">
        <v>38.203920397000005</v>
      </c>
      <c r="D67" s="123">
        <v>29.653463595000005</v>
      </c>
      <c r="E67" s="124">
        <v>-22.381097837988982</v>
      </c>
      <c r="F67" s="123">
        <v>99.018636098000002</v>
      </c>
      <c r="G67" s="123">
        <v>163.91375626600001</v>
      </c>
      <c r="H67" s="124">
        <v>65.538289280991989</v>
      </c>
      <c r="I67" s="125">
        <v>0.22248361649857615</v>
      </c>
      <c r="J67" s="126">
        <v>2668</v>
      </c>
      <c r="K67" s="126">
        <v>3249</v>
      </c>
      <c r="L67" s="124">
        <v>21.776611694152923</v>
      </c>
      <c r="M67" s="126">
        <v>4769</v>
      </c>
      <c r="N67" s="126">
        <v>7072</v>
      </c>
      <c r="O67" s="124">
        <v>48.291046340951979</v>
      </c>
      <c r="P67" s="125">
        <v>0.13590645976548063</v>
      </c>
      <c r="Q67" s="126">
        <v>13060</v>
      </c>
      <c r="R67" s="126">
        <v>9380</v>
      </c>
      <c r="S67" s="124">
        <v>-28.177641653905056</v>
      </c>
      <c r="T67" s="126">
        <v>31634</v>
      </c>
      <c r="U67" s="126">
        <v>38121</v>
      </c>
      <c r="V67" s="124">
        <v>20.506417146108618</v>
      </c>
      <c r="W67" s="125">
        <v>8.0362861265275837E-2</v>
      </c>
      <c r="X67" s="123">
        <v>2308.7147315000002</v>
      </c>
      <c r="Y67" s="123">
        <v>1616.0411109000001</v>
      </c>
      <c r="Z67" s="124">
        <v>-30.002564247076187</v>
      </c>
      <c r="AA67" s="123">
        <v>7643.4703851999993</v>
      </c>
      <c r="AB67" s="123">
        <v>5294.3388041999997</v>
      </c>
      <c r="AC67" s="124">
        <v>-30.733835059380976</v>
      </c>
      <c r="AD67" s="125">
        <v>0.37837399810630024</v>
      </c>
    </row>
    <row r="68" spans="1:30" ht="13">
      <c r="A68" s="5"/>
      <c r="B68" s="106" t="s">
        <v>3</v>
      </c>
      <c r="C68" s="13">
        <v>0.173960477</v>
      </c>
      <c r="D68" s="13">
        <v>0.67314829200000004</v>
      </c>
      <c r="E68" s="128">
        <v>286.95472880314077</v>
      </c>
      <c r="F68" s="13">
        <v>0.30933373400000003</v>
      </c>
      <c r="G68" s="13">
        <v>1.4162567239999999</v>
      </c>
      <c r="H68" s="128">
        <v>357.84102033954042</v>
      </c>
      <c r="I68" s="129">
        <v>1.7213682435586457E-2</v>
      </c>
      <c r="J68" s="131">
        <v>6</v>
      </c>
      <c r="K68" s="131">
        <v>18</v>
      </c>
      <c r="L68" s="128">
        <v>200</v>
      </c>
      <c r="M68" s="131">
        <v>12</v>
      </c>
      <c r="N68" s="131">
        <v>42</v>
      </c>
      <c r="O68" s="128">
        <v>250</v>
      </c>
      <c r="P68" s="129">
        <v>1.6796371983651533E-2</v>
      </c>
      <c r="Q68" s="132">
        <v>0</v>
      </c>
      <c r="R68" s="132">
        <v>0</v>
      </c>
      <c r="S68" s="104" t="s">
        <v>57</v>
      </c>
      <c r="T68" s="131">
        <v>0</v>
      </c>
      <c r="U68" s="131">
        <v>0</v>
      </c>
      <c r="V68" s="104" t="s">
        <v>57</v>
      </c>
      <c r="W68" s="104" t="s">
        <v>57</v>
      </c>
      <c r="X68" s="13">
        <v>0.16510549999999999</v>
      </c>
      <c r="Y68" s="13">
        <v>0.21385999999999999</v>
      </c>
      <c r="Z68" s="128">
        <v>29.52930096211211</v>
      </c>
      <c r="AA68" s="13">
        <v>0.23189589999999999</v>
      </c>
      <c r="AB68" s="13">
        <v>0.61463900000000005</v>
      </c>
      <c r="AC68" s="128">
        <v>165.04953300166156</v>
      </c>
      <c r="AD68" s="129">
        <v>8.0893718119876366E-3</v>
      </c>
    </row>
    <row r="69" spans="1:30" ht="13">
      <c r="A69" s="5"/>
      <c r="B69" s="106" t="s">
        <v>4</v>
      </c>
      <c r="C69" s="13">
        <v>16.008715500000005</v>
      </c>
      <c r="D69" s="13">
        <v>21.396018100000003</v>
      </c>
      <c r="E69" s="128">
        <v>33.652310205650146</v>
      </c>
      <c r="F69" s="13">
        <v>36.572029299999997</v>
      </c>
      <c r="G69" s="13">
        <v>49.621919200000001</v>
      </c>
      <c r="H69" s="128">
        <v>35.682706565041514</v>
      </c>
      <c r="I69" s="129">
        <v>0.29777866394687424</v>
      </c>
      <c r="J69" s="131">
        <v>2658</v>
      </c>
      <c r="K69" s="131">
        <v>3229</v>
      </c>
      <c r="L69" s="128">
        <v>21.482317531978932</v>
      </c>
      <c r="M69" s="131">
        <v>4750</v>
      </c>
      <c r="N69" s="131">
        <v>7027</v>
      </c>
      <c r="O69" s="128">
        <v>47.936842105263153</v>
      </c>
      <c r="P69" s="129">
        <v>0.14205214508442368</v>
      </c>
      <c r="Q69" s="108">
        <v>0</v>
      </c>
      <c r="R69" s="108">
        <v>0</v>
      </c>
      <c r="S69" s="104" t="s">
        <v>57</v>
      </c>
      <c r="T69" s="131">
        <v>0</v>
      </c>
      <c r="U69" s="131">
        <v>0</v>
      </c>
      <c r="V69" s="104" t="s">
        <v>57</v>
      </c>
      <c r="W69" s="104" t="s">
        <v>57</v>
      </c>
      <c r="X69" s="13">
        <v>165.05551359999998</v>
      </c>
      <c r="Y69" s="13">
        <v>208.75879630000003</v>
      </c>
      <c r="Z69" s="128">
        <v>26.477929604891457</v>
      </c>
      <c r="AA69" s="13">
        <v>378.83167359999999</v>
      </c>
      <c r="AB69" s="13">
        <v>481.87359319999996</v>
      </c>
      <c r="AC69" s="128">
        <v>27.199921965553404</v>
      </c>
      <c r="AD69" s="129">
        <v>0.12031026569524733</v>
      </c>
    </row>
    <row r="70" spans="1:30" ht="13">
      <c r="A70" s="5"/>
      <c r="B70" s="106" t="s">
        <v>5</v>
      </c>
      <c r="C70" s="127">
        <v>1.5974363079999998</v>
      </c>
      <c r="D70" s="127">
        <v>1.413868084</v>
      </c>
      <c r="E70" s="128">
        <v>-11.491426799346284</v>
      </c>
      <c r="F70" s="127">
        <v>7.7123895819999992</v>
      </c>
      <c r="G70" s="127">
        <v>2.4531927280000003</v>
      </c>
      <c r="H70" s="128">
        <v>-68.191535166668388</v>
      </c>
      <c r="I70" s="129">
        <v>5.3957151110473169E-3</v>
      </c>
      <c r="J70" s="130">
        <v>0</v>
      </c>
      <c r="K70" s="130">
        <v>0</v>
      </c>
      <c r="L70" s="104" t="s">
        <v>57</v>
      </c>
      <c r="M70" s="130">
        <v>0</v>
      </c>
      <c r="N70" s="130">
        <v>0</v>
      </c>
      <c r="O70" s="104" t="s">
        <v>57</v>
      </c>
      <c r="P70" s="129">
        <v>0</v>
      </c>
      <c r="Q70" s="132">
        <v>329</v>
      </c>
      <c r="R70" s="132">
        <v>423</v>
      </c>
      <c r="S70" s="128">
        <v>28.571428571428569</v>
      </c>
      <c r="T70" s="130">
        <v>4367</v>
      </c>
      <c r="U70" s="130">
        <v>834</v>
      </c>
      <c r="V70" s="128">
        <v>-80.902221204488214</v>
      </c>
      <c r="W70" s="129">
        <v>2.7692288076298431E-3</v>
      </c>
      <c r="X70" s="127">
        <v>48.283227199999999</v>
      </c>
      <c r="Y70" s="127">
        <v>56.397834899999999</v>
      </c>
      <c r="Z70" s="128">
        <v>16.806266214119177</v>
      </c>
      <c r="AA70" s="127">
        <v>449.24690079999999</v>
      </c>
      <c r="AB70" s="127">
        <v>104.5242439</v>
      </c>
      <c r="AC70" s="128">
        <v>-76.733452425855901</v>
      </c>
      <c r="AD70" s="129">
        <v>3.4189292951010287E-2</v>
      </c>
    </row>
    <row r="71" spans="1:30" ht="13">
      <c r="A71" s="5"/>
      <c r="B71" s="106" t="s">
        <v>6</v>
      </c>
      <c r="C71" s="127">
        <v>0</v>
      </c>
      <c r="D71" s="127">
        <v>0</v>
      </c>
      <c r="E71" s="104" t="s">
        <v>57</v>
      </c>
      <c r="F71" s="127">
        <v>0</v>
      </c>
      <c r="G71" s="127">
        <v>0</v>
      </c>
      <c r="H71" s="104" t="s">
        <v>57</v>
      </c>
      <c r="I71" s="129">
        <v>0</v>
      </c>
      <c r="J71" s="130">
        <v>0</v>
      </c>
      <c r="K71" s="130">
        <v>0</v>
      </c>
      <c r="L71" s="104" t="s">
        <v>57</v>
      </c>
      <c r="M71" s="130">
        <v>0</v>
      </c>
      <c r="N71" s="130">
        <v>0</v>
      </c>
      <c r="O71" s="104" t="s">
        <v>57</v>
      </c>
      <c r="P71" s="129">
        <v>0</v>
      </c>
      <c r="Q71" s="132">
        <v>0</v>
      </c>
      <c r="R71" s="132">
        <v>0</v>
      </c>
      <c r="S71" s="104" t="s">
        <v>57</v>
      </c>
      <c r="T71" s="130">
        <v>0</v>
      </c>
      <c r="U71" s="130">
        <v>0</v>
      </c>
      <c r="V71" s="104" t="s">
        <v>57</v>
      </c>
      <c r="W71" s="129">
        <v>0</v>
      </c>
      <c r="X71" s="127">
        <v>0</v>
      </c>
      <c r="Y71" s="127">
        <v>0</v>
      </c>
      <c r="Z71" s="104" t="s">
        <v>57</v>
      </c>
      <c r="AA71" s="127">
        <v>0</v>
      </c>
      <c r="AB71" s="127">
        <v>0</v>
      </c>
      <c r="AC71" s="104" t="s">
        <v>57</v>
      </c>
      <c r="AD71" s="129">
        <v>0</v>
      </c>
    </row>
    <row r="72" spans="1:30" ht="13">
      <c r="A72" s="5"/>
      <c r="B72" s="106" t="s">
        <v>25</v>
      </c>
      <c r="C72" s="127">
        <v>20.423808112</v>
      </c>
      <c r="D72" s="127">
        <v>6.1704291189999996</v>
      </c>
      <c r="E72" s="128">
        <v>-69.788057715962552</v>
      </c>
      <c r="F72" s="127">
        <v>54.424883482000006</v>
      </c>
      <c r="G72" s="127">
        <v>110.42238761400002</v>
      </c>
      <c r="H72" s="128">
        <v>102.88952506535016</v>
      </c>
      <c r="I72" s="129">
        <v>4.9582407855815509</v>
      </c>
      <c r="J72" s="130">
        <v>4</v>
      </c>
      <c r="K72" s="130">
        <v>2</v>
      </c>
      <c r="L72" s="128">
        <v>-50</v>
      </c>
      <c r="M72" s="130">
        <v>7</v>
      </c>
      <c r="N72" s="130">
        <v>3</v>
      </c>
      <c r="O72" s="128">
        <v>-57.142857142857139</v>
      </c>
      <c r="P72" s="129">
        <v>6.1025223759153785E-2</v>
      </c>
      <c r="Q72" s="131">
        <v>12731</v>
      </c>
      <c r="R72" s="131">
        <v>8957</v>
      </c>
      <c r="S72" s="128">
        <v>-29.644175634278529</v>
      </c>
      <c r="T72" s="130">
        <v>27267</v>
      </c>
      <c r="U72" s="130">
        <v>37287</v>
      </c>
      <c r="V72" s="128">
        <v>36.747717020574321</v>
      </c>
      <c r="W72" s="129">
        <v>0.22677511877914744</v>
      </c>
      <c r="X72" s="127">
        <v>2095.2108852000001</v>
      </c>
      <c r="Y72" s="127">
        <v>1350.6706197000001</v>
      </c>
      <c r="Z72" s="128">
        <v>-35.535337791495358</v>
      </c>
      <c r="AA72" s="127">
        <v>6815.1599148999994</v>
      </c>
      <c r="AB72" s="127">
        <v>4707.3263281</v>
      </c>
      <c r="AC72" s="128">
        <v>-30.928600548193124</v>
      </c>
      <c r="AD72" s="129">
        <v>0.7238860135399392</v>
      </c>
    </row>
    <row r="73" spans="1:30" ht="13">
      <c r="A73" s="5"/>
      <c r="B73" s="106"/>
      <c r="C73" s="127"/>
      <c r="D73" s="127"/>
      <c r="E73" s="128"/>
      <c r="F73" s="127"/>
      <c r="G73" s="127"/>
      <c r="H73" s="128"/>
      <c r="I73" s="129"/>
      <c r="J73" s="130"/>
      <c r="K73" s="130"/>
      <c r="L73" s="128"/>
      <c r="M73" s="130"/>
      <c r="N73" s="130"/>
      <c r="O73" s="128"/>
      <c r="P73" s="129"/>
      <c r="Q73" s="131"/>
      <c r="R73" s="131"/>
      <c r="S73" s="128"/>
      <c r="T73" s="130"/>
      <c r="U73" s="130"/>
      <c r="V73" s="128"/>
      <c r="W73" s="129"/>
      <c r="X73" s="127"/>
      <c r="Y73" s="127"/>
      <c r="Z73" s="128"/>
      <c r="AA73" s="127"/>
      <c r="AB73" s="127"/>
      <c r="AC73" s="128"/>
      <c r="AD73" s="129"/>
    </row>
    <row r="74" spans="1:30" s="24" customFormat="1" ht="15.5">
      <c r="A74" s="16">
        <v>11</v>
      </c>
      <c r="B74" s="105" t="s">
        <v>67</v>
      </c>
      <c r="C74" s="123">
        <v>1685.6643702490007</v>
      </c>
      <c r="D74" s="123">
        <v>1875.0107369430041</v>
      </c>
      <c r="E74" s="124">
        <v>11.232744194862097</v>
      </c>
      <c r="F74" s="123">
        <v>3814.5586459250017</v>
      </c>
      <c r="G74" s="123">
        <v>4851.1822451540065</v>
      </c>
      <c r="H74" s="124">
        <v>27.175453190014633</v>
      </c>
      <c r="I74" s="125">
        <v>6.584612510764738</v>
      </c>
      <c r="J74" s="126">
        <v>73644</v>
      </c>
      <c r="K74" s="126">
        <v>65015</v>
      </c>
      <c r="L74" s="124">
        <v>-11.717179946770951</v>
      </c>
      <c r="M74" s="126">
        <v>170485</v>
      </c>
      <c r="N74" s="126">
        <v>166412</v>
      </c>
      <c r="O74" s="124">
        <v>-2.3890664867876938</v>
      </c>
      <c r="P74" s="125">
        <v>3.1980296638140788</v>
      </c>
      <c r="Q74" s="126">
        <v>1591488</v>
      </c>
      <c r="R74" s="126">
        <v>4660953</v>
      </c>
      <c r="S74" s="124">
        <v>192.86761822897816</v>
      </c>
      <c r="T74" s="126">
        <v>7258824</v>
      </c>
      <c r="U74" s="126">
        <v>12174718</v>
      </c>
      <c r="V74" s="124">
        <v>67.723008575493765</v>
      </c>
      <c r="W74" s="125">
        <v>25.665517000547116</v>
      </c>
      <c r="X74" s="123">
        <v>45259.758774672002</v>
      </c>
      <c r="Y74" s="123">
        <v>64576.577618503004</v>
      </c>
      <c r="Z74" s="124">
        <v>42.6798979199177</v>
      </c>
      <c r="AA74" s="123">
        <v>124847.71515527999</v>
      </c>
      <c r="AB74" s="123">
        <v>169673.70387886401</v>
      </c>
      <c r="AC74" s="124">
        <v>35.904532708373118</v>
      </c>
      <c r="AD74" s="125">
        <v>12.126182340129096</v>
      </c>
    </row>
    <row r="75" spans="1:30" ht="13">
      <c r="A75" s="5"/>
      <c r="B75" s="106" t="s">
        <v>3</v>
      </c>
      <c r="C75" s="127">
        <v>275.86103603000009</v>
      </c>
      <c r="D75" s="127">
        <v>321.34755249100004</v>
      </c>
      <c r="E75" s="128">
        <v>16.488923958095068</v>
      </c>
      <c r="F75" s="127">
        <v>663.47292497199987</v>
      </c>
      <c r="G75" s="127">
        <v>821.54718882999998</v>
      </c>
      <c r="H75" s="128">
        <v>23.825277250713921</v>
      </c>
      <c r="I75" s="129">
        <v>9.9853735376640671</v>
      </c>
      <c r="J75" s="130">
        <v>3425</v>
      </c>
      <c r="K75" s="130">
        <v>3849</v>
      </c>
      <c r="L75" s="128">
        <v>12.379562043795621</v>
      </c>
      <c r="M75" s="130">
        <v>7985</v>
      </c>
      <c r="N75" s="130">
        <v>9750</v>
      </c>
      <c r="O75" s="128">
        <v>22.103944896681277</v>
      </c>
      <c r="P75" s="129">
        <v>3.8991577819191057</v>
      </c>
      <c r="Q75" s="132">
        <v>0</v>
      </c>
      <c r="R75" s="132">
        <v>0</v>
      </c>
      <c r="S75" s="104" t="s">
        <v>57</v>
      </c>
      <c r="T75" s="130">
        <v>0</v>
      </c>
      <c r="U75" s="130">
        <v>0</v>
      </c>
      <c r="V75" s="104" t="s">
        <v>57</v>
      </c>
      <c r="W75" s="104" t="s">
        <v>57</v>
      </c>
      <c r="X75" s="127">
        <v>77.13961599999999</v>
      </c>
      <c r="Y75" s="127">
        <v>143.62030920000001</v>
      </c>
      <c r="Z75" s="128">
        <v>86.182297303631941</v>
      </c>
      <c r="AA75" s="127">
        <v>213.36742319999996</v>
      </c>
      <c r="AB75" s="127">
        <v>366.63658460000005</v>
      </c>
      <c r="AC75" s="128">
        <v>71.833440691802906</v>
      </c>
      <c r="AD75" s="129">
        <v>4.8253684727240875</v>
      </c>
    </row>
    <row r="76" spans="1:30" ht="13">
      <c r="A76" s="5"/>
      <c r="B76" s="106" t="s">
        <v>4</v>
      </c>
      <c r="C76" s="127">
        <v>541.6722064029999</v>
      </c>
      <c r="D76" s="127">
        <v>573.076265229</v>
      </c>
      <c r="E76" s="128">
        <v>5.7976131052653122</v>
      </c>
      <c r="F76" s="127">
        <v>1238.3558000160001</v>
      </c>
      <c r="G76" s="127">
        <v>1481.7710122830001</v>
      </c>
      <c r="H76" s="128">
        <v>19.656322703366431</v>
      </c>
      <c r="I76" s="129">
        <v>8.8920339927690488</v>
      </c>
      <c r="J76" s="130">
        <v>70205</v>
      </c>
      <c r="K76" s="130">
        <v>61128</v>
      </c>
      <c r="L76" s="128">
        <v>-12.92927854141443</v>
      </c>
      <c r="M76" s="130">
        <v>162469</v>
      </c>
      <c r="N76" s="130">
        <v>156574</v>
      </c>
      <c r="O76" s="128">
        <v>-3.6283844918107455</v>
      </c>
      <c r="P76" s="129">
        <v>3.165173269453331</v>
      </c>
      <c r="Q76" s="132">
        <v>0</v>
      </c>
      <c r="R76" s="132">
        <v>0</v>
      </c>
      <c r="S76" s="104" t="s">
        <v>57</v>
      </c>
      <c r="T76" s="130">
        <v>0</v>
      </c>
      <c r="U76" s="130">
        <v>0</v>
      </c>
      <c r="V76" s="104" t="s">
        <v>57</v>
      </c>
      <c r="W76" s="104" t="s">
        <v>57</v>
      </c>
      <c r="X76" s="127">
        <v>19375.8791523</v>
      </c>
      <c r="Y76" s="127">
        <v>14050.516143800001</v>
      </c>
      <c r="Z76" s="128">
        <v>-27.484497434367285</v>
      </c>
      <c r="AA76" s="127">
        <v>47773.446806100001</v>
      </c>
      <c r="AB76" s="127">
        <v>34452.331782900001</v>
      </c>
      <c r="AC76" s="128">
        <v>-27.883931166337948</v>
      </c>
      <c r="AD76" s="129">
        <v>8.6017769994322109</v>
      </c>
    </row>
    <row r="77" spans="1:30" ht="13">
      <c r="A77" s="5"/>
      <c r="B77" s="106" t="s">
        <v>5</v>
      </c>
      <c r="C77" s="13">
        <v>843.12441672800082</v>
      </c>
      <c r="D77" s="13">
        <v>942.81218260400419</v>
      </c>
      <c r="E77" s="128">
        <v>11.823612731187632</v>
      </c>
      <c r="F77" s="13">
        <v>1837.3658446820016</v>
      </c>
      <c r="G77" s="13">
        <v>2431.0349230270067</v>
      </c>
      <c r="H77" s="128">
        <v>32.310880278051165</v>
      </c>
      <c r="I77" s="129">
        <v>5.3469797623093926</v>
      </c>
      <c r="J77" s="131">
        <v>5</v>
      </c>
      <c r="K77" s="131">
        <v>22</v>
      </c>
      <c r="L77" s="128">
        <v>340</v>
      </c>
      <c r="M77" s="131">
        <v>17</v>
      </c>
      <c r="N77" s="131">
        <v>40</v>
      </c>
      <c r="O77" s="128">
        <v>135.29411764705884</v>
      </c>
      <c r="P77" s="129">
        <v>7.4906367041198507</v>
      </c>
      <c r="Q77" s="132">
        <v>1269114</v>
      </c>
      <c r="R77" s="132">
        <v>4213432</v>
      </c>
      <c r="S77" s="128">
        <v>231.99791350501218</v>
      </c>
      <c r="T77" s="131">
        <v>5613407</v>
      </c>
      <c r="U77" s="131">
        <v>11020447</v>
      </c>
      <c r="V77" s="128">
        <v>96.323676512321313</v>
      </c>
      <c r="W77" s="129">
        <v>36.592493171891945</v>
      </c>
      <c r="X77" s="13">
        <v>18459.057724671999</v>
      </c>
      <c r="Y77" s="13">
        <v>38708.731088703003</v>
      </c>
      <c r="Z77" s="128">
        <v>109.70047153038426</v>
      </c>
      <c r="AA77" s="13">
        <v>57269.856135779992</v>
      </c>
      <c r="AB77" s="13">
        <v>104226.08432156401</v>
      </c>
      <c r="AC77" s="128">
        <v>81.991175382833859</v>
      </c>
      <c r="AD77" s="129">
        <v>34.091766627997124</v>
      </c>
    </row>
    <row r="78" spans="1:30" ht="13">
      <c r="A78" s="5"/>
      <c r="B78" s="106" t="s">
        <v>6</v>
      </c>
      <c r="C78" s="13">
        <v>0</v>
      </c>
      <c r="D78" s="13">
        <v>0</v>
      </c>
      <c r="E78" s="104" t="s">
        <v>57</v>
      </c>
      <c r="F78" s="13">
        <v>0</v>
      </c>
      <c r="G78" s="13">
        <v>0</v>
      </c>
      <c r="H78" s="104" t="s">
        <v>57</v>
      </c>
      <c r="I78" s="129">
        <v>0</v>
      </c>
      <c r="J78" s="131">
        <v>0</v>
      </c>
      <c r="K78" s="131">
        <v>0</v>
      </c>
      <c r="L78" s="104" t="s">
        <v>57</v>
      </c>
      <c r="M78" s="131">
        <v>0</v>
      </c>
      <c r="N78" s="131">
        <v>0</v>
      </c>
      <c r="O78" s="104" t="s">
        <v>57</v>
      </c>
      <c r="P78" s="129">
        <v>0</v>
      </c>
      <c r="Q78" s="108">
        <v>0</v>
      </c>
      <c r="R78" s="108">
        <v>0</v>
      </c>
      <c r="S78" s="104" t="s">
        <v>57</v>
      </c>
      <c r="T78" s="131">
        <v>0</v>
      </c>
      <c r="U78" s="131">
        <v>0</v>
      </c>
      <c r="V78" s="104" t="s">
        <v>57</v>
      </c>
      <c r="W78" s="129">
        <v>0</v>
      </c>
      <c r="X78" s="13">
        <v>0</v>
      </c>
      <c r="Y78" s="13">
        <v>0</v>
      </c>
      <c r="Z78" s="104" t="s">
        <v>57</v>
      </c>
      <c r="AA78" s="13">
        <v>0</v>
      </c>
      <c r="AB78" s="13">
        <v>0</v>
      </c>
      <c r="AC78" s="104" t="s">
        <v>57</v>
      </c>
      <c r="AD78" s="129">
        <v>0</v>
      </c>
    </row>
    <row r="79" spans="1:30" ht="13">
      <c r="A79" s="5"/>
      <c r="B79" s="106" t="s">
        <v>25</v>
      </c>
      <c r="C79" s="13">
        <v>25.006711087999882</v>
      </c>
      <c r="D79" s="13">
        <v>37.77473661899981</v>
      </c>
      <c r="E79" s="128">
        <v>51.058395828498192</v>
      </c>
      <c r="F79" s="13">
        <v>75.364076255000285</v>
      </c>
      <c r="G79" s="13">
        <v>116.82912101399961</v>
      </c>
      <c r="H79" s="128">
        <v>55.019641743765405</v>
      </c>
      <c r="I79" s="129">
        <v>5.2459191045585811</v>
      </c>
      <c r="J79" s="131">
        <v>9</v>
      </c>
      <c r="K79" s="131">
        <v>16</v>
      </c>
      <c r="L79" s="128">
        <v>77.777777777777786</v>
      </c>
      <c r="M79" s="131">
        <v>14</v>
      </c>
      <c r="N79" s="131">
        <v>48</v>
      </c>
      <c r="O79" s="128">
        <v>242.85714285714283</v>
      </c>
      <c r="P79" s="129">
        <v>0.97640358014646056</v>
      </c>
      <c r="Q79" s="134">
        <v>322374</v>
      </c>
      <c r="R79" s="134">
        <v>447521</v>
      </c>
      <c r="S79" s="128">
        <v>38.820438372821627</v>
      </c>
      <c r="T79" s="131">
        <v>1645417</v>
      </c>
      <c r="U79" s="131">
        <v>1154271</v>
      </c>
      <c r="V79" s="128">
        <v>-29.849333026217671</v>
      </c>
      <c r="W79" s="129">
        <v>7.0201395426911599</v>
      </c>
      <c r="X79" s="13">
        <v>7347.6822817000002</v>
      </c>
      <c r="Y79" s="13">
        <v>11673.710076799998</v>
      </c>
      <c r="Z79" s="128">
        <v>58.876086761050104</v>
      </c>
      <c r="AA79" s="13">
        <v>19591.044790200001</v>
      </c>
      <c r="AB79" s="13">
        <v>30628.651189799999</v>
      </c>
      <c r="AC79" s="128">
        <v>56.340060051934145</v>
      </c>
      <c r="AD79" s="129">
        <v>4.7100308464993743</v>
      </c>
    </row>
    <row r="80" spans="1:30" ht="13">
      <c r="A80" s="5"/>
      <c r="B80" s="106"/>
      <c r="C80" s="13"/>
      <c r="D80" s="13"/>
      <c r="E80" s="128"/>
      <c r="F80" s="13"/>
      <c r="G80" s="13"/>
      <c r="H80" s="128"/>
      <c r="I80" s="129"/>
      <c r="J80" s="131"/>
      <c r="K80" s="131"/>
      <c r="L80" s="128"/>
      <c r="M80" s="131"/>
      <c r="N80" s="131"/>
      <c r="O80" s="128"/>
      <c r="P80" s="129"/>
      <c r="Q80" s="134"/>
      <c r="R80" s="134"/>
      <c r="S80" s="128"/>
      <c r="T80" s="131"/>
      <c r="U80" s="131"/>
      <c r="V80" s="128"/>
      <c r="W80" s="129"/>
      <c r="X80" s="13"/>
      <c r="Y80" s="13"/>
      <c r="Z80" s="128"/>
      <c r="AA80" s="13"/>
      <c r="AB80" s="13"/>
      <c r="AC80" s="128"/>
      <c r="AD80" s="129"/>
    </row>
    <row r="81" spans="1:30" s="24" customFormat="1" ht="15.5">
      <c r="A81" s="16">
        <v>12</v>
      </c>
      <c r="B81" s="105" t="s">
        <v>36</v>
      </c>
      <c r="C81" s="123">
        <v>1263.1929826400001</v>
      </c>
      <c r="D81" s="123">
        <v>1079.88305909</v>
      </c>
      <c r="E81" s="124">
        <v>-14.511632511359668</v>
      </c>
      <c r="F81" s="123">
        <v>2558.5214674599997</v>
      </c>
      <c r="G81" s="123">
        <v>3183.9908203699997</v>
      </c>
      <c r="H81" s="124">
        <v>24.44651572655912</v>
      </c>
      <c r="I81" s="125">
        <v>4.3216982439510083</v>
      </c>
      <c r="J81" s="126">
        <v>50545</v>
      </c>
      <c r="K81" s="126">
        <v>46116</v>
      </c>
      <c r="L81" s="124">
        <v>-8.7624888713028</v>
      </c>
      <c r="M81" s="126">
        <v>119990</v>
      </c>
      <c r="N81" s="126">
        <v>120663</v>
      </c>
      <c r="O81" s="124">
        <v>0.56088007333944501</v>
      </c>
      <c r="P81" s="125">
        <v>2.3188463171213503</v>
      </c>
      <c r="Q81" s="126">
        <v>557954</v>
      </c>
      <c r="R81" s="126">
        <v>3523737</v>
      </c>
      <c r="S81" s="124">
        <v>531.54614896568535</v>
      </c>
      <c r="T81" s="126">
        <v>4261332</v>
      </c>
      <c r="U81" s="126">
        <v>8355577</v>
      </c>
      <c r="V81" s="124">
        <v>96.078995957132648</v>
      </c>
      <c r="W81" s="125">
        <v>17.614387745398329</v>
      </c>
      <c r="X81" s="123">
        <v>47354.743770810004</v>
      </c>
      <c r="Y81" s="123">
        <v>69060.61221009001</v>
      </c>
      <c r="Z81" s="124">
        <v>45.836735057280045</v>
      </c>
      <c r="AA81" s="123">
        <v>176861.65632037999</v>
      </c>
      <c r="AB81" s="123">
        <v>220934.79021246001</v>
      </c>
      <c r="AC81" s="124">
        <v>24.919552835263943</v>
      </c>
      <c r="AD81" s="125">
        <v>15.789692157054338</v>
      </c>
    </row>
    <row r="82" spans="1:30" ht="13">
      <c r="A82" s="5"/>
      <c r="B82" s="106" t="s">
        <v>3</v>
      </c>
      <c r="C82" s="13">
        <v>252.49550792000002</v>
      </c>
      <c r="D82" s="13">
        <v>222.30774767</v>
      </c>
      <c r="E82" s="128">
        <v>-11.955761311826835</v>
      </c>
      <c r="F82" s="13">
        <v>621.02872413</v>
      </c>
      <c r="G82" s="13">
        <v>627.22581777999994</v>
      </c>
      <c r="H82" s="128">
        <v>0.99787552639879262</v>
      </c>
      <c r="I82" s="129">
        <v>7.6235232353720779</v>
      </c>
      <c r="J82" s="131">
        <v>2485</v>
      </c>
      <c r="K82" s="131">
        <v>2713</v>
      </c>
      <c r="L82" s="128">
        <v>9.1750503018108649</v>
      </c>
      <c r="M82" s="131">
        <v>6211</v>
      </c>
      <c r="N82" s="131">
        <v>7839</v>
      </c>
      <c r="O82" s="128">
        <v>26.211560135243921</v>
      </c>
      <c r="P82" s="129">
        <v>3.134922856662961</v>
      </c>
      <c r="Q82" s="131">
        <v>0</v>
      </c>
      <c r="R82" s="131">
        <v>0</v>
      </c>
      <c r="S82" s="104" t="s">
        <v>57</v>
      </c>
      <c r="T82" s="131">
        <v>0</v>
      </c>
      <c r="U82" s="131">
        <v>0</v>
      </c>
      <c r="V82" s="104" t="s">
        <v>57</v>
      </c>
      <c r="W82" s="104" t="s">
        <v>57</v>
      </c>
      <c r="X82" s="13">
        <v>348.00305209999999</v>
      </c>
      <c r="Y82" s="13">
        <v>275.20065250999994</v>
      </c>
      <c r="Z82" s="128">
        <v>-20.920046290019322</v>
      </c>
      <c r="AA82" s="13">
        <v>841.97494057999995</v>
      </c>
      <c r="AB82" s="13">
        <v>809.79426696000007</v>
      </c>
      <c r="AC82" s="128">
        <v>-3.8220464848789928</v>
      </c>
      <c r="AD82" s="129">
        <v>10.657844550468511</v>
      </c>
    </row>
    <row r="83" spans="1:30" ht="13">
      <c r="A83" s="5"/>
      <c r="B83" s="106" t="s">
        <v>4</v>
      </c>
      <c r="C83" s="13">
        <v>416.36762429000004</v>
      </c>
      <c r="D83" s="13">
        <v>406.60433315999995</v>
      </c>
      <c r="E83" s="128">
        <v>-2.3448727903973512</v>
      </c>
      <c r="F83" s="13">
        <v>880.2591041899999</v>
      </c>
      <c r="G83" s="13">
        <v>1038.00997003</v>
      </c>
      <c r="H83" s="128">
        <v>17.920958168920031</v>
      </c>
      <c r="I83" s="129">
        <v>6.2290460954010891</v>
      </c>
      <c r="J83" s="131">
        <v>47924</v>
      </c>
      <c r="K83" s="131">
        <v>43261</v>
      </c>
      <c r="L83" s="128">
        <v>-9.7299891494866877</v>
      </c>
      <c r="M83" s="131">
        <v>113055</v>
      </c>
      <c r="N83" s="131">
        <v>112528</v>
      </c>
      <c r="O83" s="128">
        <v>-0.46614479678032822</v>
      </c>
      <c r="P83" s="129">
        <v>2.2747749796584644</v>
      </c>
      <c r="Q83" s="134">
        <v>0</v>
      </c>
      <c r="R83" s="134">
        <v>0</v>
      </c>
      <c r="S83" s="104" t="s">
        <v>57</v>
      </c>
      <c r="T83" s="131">
        <v>0</v>
      </c>
      <c r="U83" s="131">
        <v>0</v>
      </c>
      <c r="V83" s="104" t="s">
        <v>57</v>
      </c>
      <c r="W83" s="104" t="s">
        <v>57</v>
      </c>
      <c r="X83" s="13">
        <v>17304.628195900001</v>
      </c>
      <c r="Y83" s="13">
        <v>11854.913072300002</v>
      </c>
      <c r="Z83" s="128">
        <v>-31.492818348395396</v>
      </c>
      <c r="AA83" s="13">
        <v>46636.083893700008</v>
      </c>
      <c r="AB83" s="13">
        <v>34169.0498553</v>
      </c>
      <c r="AC83" s="128">
        <v>-26.732592013550605</v>
      </c>
      <c r="AD83" s="129">
        <v>8.5310494798976997</v>
      </c>
    </row>
    <row r="84" spans="1:30" ht="13">
      <c r="A84" s="5"/>
      <c r="B84" s="106" t="s">
        <v>5</v>
      </c>
      <c r="C84" s="13">
        <v>101.65452380000001</v>
      </c>
      <c r="D84" s="13">
        <v>323.44391639000003</v>
      </c>
      <c r="E84" s="128">
        <v>218.179559845619</v>
      </c>
      <c r="F84" s="13">
        <v>393.43596301999997</v>
      </c>
      <c r="G84" s="13">
        <v>800.31791406999992</v>
      </c>
      <c r="H84" s="128">
        <v>103.41757980810627</v>
      </c>
      <c r="I84" s="129">
        <v>1.7602724047327138</v>
      </c>
      <c r="J84" s="131">
        <v>4</v>
      </c>
      <c r="K84" s="131">
        <v>1</v>
      </c>
      <c r="L84" s="128">
        <v>-75</v>
      </c>
      <c r="M84" s="131">
        <v>18</v>
      </c>
      <c r="N84" s="131">
        <v>14</v>
      </c>
      <c r="O84" s="128">
        <v>-22.222222222222221</v>
      </c>
      <c r="P84" s="129">
        <v>2.6217228464419478</v>
      </c>
      <c r="Q84" s="134">
        <v>349813</v>
      </c>
      <c r="R84" s="134">
        <v>2508902</v>
      </c>
      <c r="S84" s="128">
        <v>617.21233916406766</v>
      </c>
      <c r="T84" s="131">
        <v>3288532</v>
      </c>
      <c r="U84" s="131">
        <v>5948186</v>
      </c>
      <c r="V84" s="128">
        <v>80.876634315858865</v>
      </c>
      <c r="W84" s="129">
        <v>19.750465257003029</v>
      </c>
      <c r="X84" s="13">
        <v>7249.8064638000005</v>
      </c>
      <c r="Y84" s="13">
        <v>18321.606664700001</v>
      </c>
      <c r="Z84" s="128">
        <v>152.71856229796091</v>
      </c>
      <c r="AA84" s="13">
        <v>28864.890511500002</v>
      </c>
      <c r="AB84" s="13">
        <v>48118.777729200003</v>
      </c>
      <c r="AC84" s="128">
        <v>66.70348259256032</v>
      </c>
      <c r="AD84" s="129">
        <v>15.739381858644267</v>
      </c>
    </row>
    <row r="85" spans="1:30" ht="13">
      <c r="A85" s="5"/>
      <c r="B85" s="106" t="s">
        <v>6</v>
      </c>
      <c r="C85" s="13">
        <v>1.3745700000000001E-2</v>
      </c>
      <c r="D85" s="13">
        <v>1.7459999999999999E-4</v>
      </c>
      <c r="E85" s="128">
        <v>-98.729784587179992</v>
      </c>
      <c r="F85" s="13">
        <v>0.1103716</v>
      </c>
      <c r="G85" s="13">
        <v>5.5039999999999993E-4</v>
      </c>
      <c r="H85" s="128">
        <v>-99.501320991994319</v>
      </c>
      <c r="I85" s="129">
        <v>5.0478009870023859E-5</v>
      </c>
      <c r="J85" s="131">
        <v>0</v>
      </c>
      <c r="K85" s="131">
        <v>0</v>
      </c>
      <c r="L85" s="104" t="s">
        <v>57</v>
      </c>
      <c r="M85" s="131">
        <v>0</v>
      </c>
      <c r="N85" s="131">
        <v>0</v>
      </c>
      <c r="O85" s="104" t="s">
        <v>57</v>
      </c>
      <c r="P85" s="129">
        <v>0</v>
      </c>
      <c r="Q85" s="134">
        <v>2</v>
      </c>
      <c r="R85" s="134">
        <v>0</v>
      </c>
      <c r="S85" s="128">
        <v>-100</v>
      </c>
      <c r="T85" s="131">
        <v>157</v>
      </c>
      <c r="U85" s="131">
        <v>0</v>
      </c>
      <c r="V85" s="128">
        <v>-100</v>
      </c>
      <c r="W85" s="129">
        <v>0</v>
      </c>
      <c r="X85" s="13">
        <v>2.1</v>
      </c>
      <c r="Y85" s="13">
        <v>0</v>
      </c>
      <c r="Z85" s="128">
        <v>-100</v>
      </c>
      <c r="AA85" s="13">
        <v>165.1814995</v>
      </c>
      <c r="AB85" s="13">
        <v>0</v>
      </c>
      <c r="AC85" s="128">
        <v>-100</v>
      </c>
      <c r="AD85" s="129">
        <v>0</v>
      </c>
    </row>
    <row r="86" spans="1:30" ht="13">
      <c r="A86" s="5"/>
      <c r="B86" s="106" t="s">
        <v>25</v>
      </c>
      <c r="C86" s="13">
        <v>492.66158093000007</v>
      </c>
      <c r="D86" s="13">
        <v>127.52688726999999</v>
      </c>
      <c r="E86" s="128">
        <v>-74.114708309654119</v>
      </c>
      <c r="F86" s="13">
        <v>663.68730452</v>
      </c>
      <c r="G86" s="13">
        <v>718.43656809000004</v>
      </c>
      <c r="H86" s="128">
        <v>8.2492558162757792</v>
      </c>
      <c r="I86" s="129">
        <v>32.259594913028671</v>
      </c>
      <c r="J86" s="131">
        <v>132</v>
      </c>
      <c r="K86" s="131">
        <v>141</v>
      </c>
      <c r="L86" s="128">
        <v>6.8181818181818175</v>
      </c>
      <c r="M86" s="131">
        <v>706</v>
      </c>
      <c r="N86" s="131">
        <v>282</v>
      </c>
      <c r="O86" s="128">
        <v>-60.056657223796037</v>
      </c>
      <c r="P86" s="129">
        <v>5.7363710333604558</v>
      </c>
      <c r="Q86" s="134">
        <v>208139</v>
      </c>
      <c r="R86" s="134">
        <v>1014835</v>
      </c>
      <c r="S86" s="128">
        <v>387.57561052950194</v>
      </c>
      <c r="T86" s="131">
        <v>972643</v>
      </c>
      <c r="U86" s="131">
        <v>2407391</v>
      </c>
      <c r="V86" s="128">
        <v>147.51023756918008</v>
      </c>
      <c r="W86" s="129">
        <v>14.641466998494126</v>
      </c>
      <c r="X86" s="13">
        <v>22450.206059010001</v>
      </c>
      <c r="Y86" s="13">
        <v>38608.891820580007</v>
      </c>
      <c r="Z86" s="128">
        <v>71.975667925261646</v>
      </c>
      <c r="AA86" s="13">
        <v>100353.52547509997</v>
      </c>
      <c r="AB86" s="13">
        <v>137837.16836099999</v>
      </c>
      <c r="AC86" s="128">
        <v>37.351595480520089</v>
      </c>
      <c r="AD86" s="129">
        <v>21.196405638346913</v>
      </c>
    </row>
    <row r="87" spans="1:30" ht="13">
      <c r="A87" s="5"/>
      <c r="B87" s="106"/>
      <c r="C87" s="13"/>
      <c r="D87" s="13"/>
      <c r="E87" s="128"/>
      <c r="F87" s="13"/>
      <c r="G87" s="13"/>
      <c r="H87" s="128"/>
      <c r="I87" s="129"/>
      <c r="J87" s="131"/>
      <c r="K87" s="131"/>
      <c r="L87" s="128"/>
      <c r="M87" s="131"/>
      <c r="N87" s="131"/>
      <c r="O87" s="128"/>
      <c r="P87" s="129"/>
      <c r="Q87" s="134"/>
      <c r="R87" s="134"/>
      <c r="S87" s="128"/>
      <c r="T87" s="131"/>
      <c r="U87" s="131"/>
      <c r="V87" s="128"/>
      <c r="W87" s="129"/>
      <c r="X87" s="13"/>
      <c r="Y87" s="13"/>
      <c r="Z87" s="128"/>
      <c r="AA87" s="13"/>
      <c r="AB87" s="13"/>
      <c r="AC87" s="128"/>
      <c r="AD87" s="129"/>
    </row>
    <row r="88" spans="1:30" s="24" customFormat="1" ht="15.5">
      <c r="A88" s="16">
        <v>13</v>
      </c>
      <c r="B88" s="105" t="s">
        <v>38</v>
      </c>
      <c r="C88" s="123">
        <v>171.91229067999996</v>
      </c>
      <c r="D88" s="123">
        <v>197.74623013299845</v>
      </c>
      <c r="E88" s="124">
        <v>15.027395278611094</v>
      </c>
      <c r="F88" s="123">
        <v>434.02032908800095</v>
      </c>
      <c r="G88" s="123">
        <v>500.69982383299924</v>
      </c>
      <c r="H88" s="124">
        <v>15.363219249455598</v>
      </c>
      <c r="I88" s="125">
        <v>0.67961048617413933</v>
      </c>
      <c r="J88" s="126">
        <v>17215</v>
      </c>
      <c r="K88" s="126">
        <v>24277</v>
      </c>
      <c r="L88" s="124">
        <v>41.022364217252395</v>
      </c>
      <c r="M88" s="126">
        <v>32303</v>
      </c>
      <c r="N88" s="126">
        <v>58659</v>
      </c>
      <c r="O88" s="124">
        <v>81.589945206327585</v>
      </c>
      <c r="P88" s="125">
        <v>1.1272818189173259</v>
      </c>
      <c r="Q88" s="126">
        <v>152381</v>
      </c>
      <c r="R88" s="126">
        <v>396490</v>
      </c>
      <c r="S88" s="124">
        <v>160.19648118859965</v>
      </c>
      <c r="T88" s="126">
        <v>942469</v>
      </c>
      <c r="U88" s="126">
        <v>1346173</v>
      </c>
      <c r="V88" s="124">
        <v>42.834724537358788</v>
      </c>
      <c r="W88" s="125">
        <v>2.8378666361863583</v>
      </c>
      <c r="X88" s="123">
        <v>11453.532696899993</v>
      </c>
      <c r="Y88" s="123">
        <v>6982.0256609669641</v>
      </c>
      <c r="Z88" s="124">
        <v>-39.040417958934924</v>
      </c>
      <c r="AA88" s="123">
        <v>93720.793329199994</v>
      </c>
      <c r="AB88" s="123">
        <v>30583.007547900008</v>
      </c>
      <c r="AC88" s="124">
        <v>-67.367959167315917</v>
      </c>
      <c r="AD88" s="125">
        <v>2.1856959420190791</v>
      </c>
    </row>
    <row r="89" spans="1:30" s="26" customFormat="1" ht="13">
      <c r="A89" s="5"/>
      <c r="B89" s="106" t="s">
        <v>3</v>
      </c>
      <c r="C89" s="127">
        <v>5.3142623000000002</v>
      </c>
      <c r="D89" s="127">
        <v>4.9543561000000009</v>
      </c>
      <c r="E89" s="128">
        <v>-6.7724583334924828</v>
      </c>
      <c r="F89" s="127">
        <v>11.754996200000001</v>
      </c>
      <c r="G89" s="127">
        <v>12.6306034</v>
      </c>
      <c r="H89" s="128">
        <v>7.4488088732857198</v>
      </c>
      <c r="I89" s="129">
        <v>0.15351679692885864</v>
      </c>
      <c r="J89" s="130">
        <v>130</v>
      </c>
      <c r="K89" s="130">
        <v>122</v>
      </c>
      <c r="L89" s="128">
        <v>-6.1538461538461542</v>
      </c>
      <c r="M89" s="130">
        <v>268</v>
      </c>
      <c r="N89" s="130">
        <v>308</v>
      </c>
      <c r="O89" s="128">
        <v>14.925373134328357</v>
      </c>
      <c r="P89" s="129">
        <v>0.12317339454677789</v>
      </c>
      <c r="Q89" s="132">
        <v>0</v>
      </c>
      <c r="R89" s="132">
        <v>0</v>
      </c>
      <c r="S89" s="104" t="s">
        <v>57</v>
      </c>
      <c r="T89" s="130">
        <v>0</v>
      </c>
      <c r="U89" s="130">
        <v>0</v>
      </c>
      <c r="V89" s="104" t="s">
        <v>57</v>
      </c>
      <c r="W89" s="104" t="s">
        <v>57</v>
      </c>
      <c r="X89" s="127">
        <v>7.7701271999999992</v>
      </c>
      <c r="Y89" s="127">
        <v>13.048196200000001</v>
      </c>
      <c r="Z89" s="128">
        <v>67.927703937716771</v>
      </c>
      <c r="AA89" s="127">
        <v>18.967529899999999</v>
      </c>
      <c r="AB89" s="127">
        <v>26.762421</v>
      </c>
      <c r="AC89" s="128">
        <v>41.095973703987681</v>
      </c>
      <c r="AD89" s="129">
        <v>0.35222492236572356</v>
      </c>
    </row>
    <row r="90" spans="1:30" ht="13">
      <c r="A90" s="5"/>
      <c r="B90" s="106" t="s">
        <v>4</v>
      </c>
      <c r="C90" s="127">
        <v>77.701154610000003</v>
      </c>
      <c r="D90" s="127">
        <v>127.54893258199945</v>
      </c>
      <c r="E90" s="128">
        <v>64.153201097457213</v>
      </c>
      <c r="F90" s="127">
        <v>149.40284220000001</v>
      </c>
      <c r="G90" s="127">
        <v>294.57942569999994</v>
      </c>
      <c r="H90" s="128">
        <v>97.171232730403787</v>
      </c>
      <c r="I90" s="129">
        <v>1.7677564516928941</v>
      </c>
      <c r="J90" s="130">
        <v>17048</v>
      </c>
      <c r="K90" s="130">
        <v>24136</v>
      </c>
      <c r="L90" s="128">
        <v>41.576724542468327</v>
      </c>
      <c r="M90" s="130">
        <v>31930</v>
      </c>
      <c r="N90" s="130">
        <v>58302</v>
      </c>
      <c r="O90" s="128">
        <v>82.593172564985906</v>
      </c>
      <c r="P90" s="129">
        <v>1.178586048486135</v>
      </c>
      <c r="Q90" s="108">
        <v>0</v>
      </c>
      <c r="R90" s="108">
        <v>0</v>
      </c>
      <c r="S90" s="104" t="s">
        <v>57</v>
      </c>
      <c r="T90" s="130">
        <v>0</v>
      </c>
      <c r="U90" s="130">
        <v>0</v>
      </c>
      <c r="V90" s="104" t="s">
        <v>57</v>
      </c>
      <c r="W90" s="104" t="s">
        <v>57</v>
      </c>
      <c r="X90" s="127">
        <v>2531.2334264000001</v>
      </c>
      <c r="Y90" s="127">
        <v>2054.5722712669626</v>
      </c>
      <c r="Z90" s="128">
        <v>-18.831181279513995</v>
      </c>
      <c r="AA90" s="127">
        <v>5643.0681724999995</v>
      </c>
      <c r="AB90" s="127">
        <v>5327.2351752999994</v>
      </c>
      <c r="AC90" s="128">
        <v>-5.5968311483304198</v>
      </c>
      <c r="AD90" s="129">
        <v>1.3300605976459854</v>
      </c>
    </row>
    <row r="91" spans="1:30" ht="13">
      <c r="A91" s="5"/>
      <c r="B91" s="106" t="s">
        <v>5</v>
      </c>
      <c r="C91" s="127">
        <v>88.822680713999958</v>
      </c>
      <c r="D91" s="127">
        <v>65.218531703998991</v>
      </c>
      <c r="E91" s="128">
        <v>-26.574461410373257</v>
      </c>
      <c r="F91" s="127">
        <v>272.67922291300096</v>
      </c>
      <c r="G91" s="127">
        <v>193.46538498599932</v>
      </c>
      <c r="H91" s="128">
        <v>-29.0501920464527</v>
      </c>
      <c r="I91" s="129">
        <v>0.42552062433536741</v>
      </c>
      <c r="J91" s="130">
        <v>37</v>
      </c>
      <c r="K91" s="130">
        <v>18</v>
      </c>
      <c r="L91" s="128">
        <v>-51.351351351351347</v>
      </c>
      <c r="M91" s="130">
        <v>105</v>
      </c>
      <c r="N91" s="130">
        <v>48</v>
      </c>
      <c r="O91" s="128">
        <v>-54.285714285714285</v>
      </c>
      <c r="P91" s="129">
        <v>8.9887640449438209</v>
      </c>
      <c r="Q91" s="132">
        <v>152322</v>
      </c>
      <c r="R91" s="132">
        <v>396470</v>
      </c>
      <c r="S91" s="128">
        <v>160.284134924699</v>
      </c>
      <c r="T91" s="130">
        <v>942332</v>
      </c>
      <c r="U91" s="130">
        <v>1346153</v>
      </c>
      <c r="V91" s="128">
        <v>42.85336802740435</v>
      </c>
      <c r="W91" s="129">
        <v>4.4697909677186276</v>
      </c>
      <c r="X91" s="127">
        <v>8898.1610651999927</v>
      </c>
      <c r="Y91" s="127">
        <v>4911.6291498000019</v>
      </c>
      <c r="Z91" s="128">
        <v>-44.801750453708948</v>
      </c>
      <c r="AA91" s="127">
        <v>88001.471315100003</v>
      </c>
      <c r="AB91" s="127">
        <v>25226.233907900005</v>
      </c>
      <c r="AC91" s="128">
        <v>-71.33430438046382</v>
      </c>
      <c r="AD91" s="129">
        <v>8.2513593875219833</v>
      </c>
    </row>
    <row r="92" spans="1:30" ht="13">
      <c r="A92" s="5"/>
      <c r="B92" s="106" t="s">
        <v>6</v>
      </c>
      <c r="C92" s="127">
        <v>7.4193056000000007E-2</v>
      </c>
      <c r="D92" s="127">
        <v>2.4409746999999999E-2</v>
      </c>
      <c r="E92" s="128">
        <v>-67.099687873754661</v>
      </c>
      <c r="F92" s="127">
        <v>0.18326777500000002</v>
      </c>
      <c r="G92" s="127">
        <v>2.4409746999999999E-2</v>
      </c>
      <c r="H92" s="128">
        <v>-86.680829731249801</v>
      </c>
      <c r="I92" s="129">
        <v>2.2386545239658166E-3</v>
      </c>
      <c r="J92" s="130">
        <v>0</v>
      </c>
      <c r="K92" s="130">
        <v>1</v>
      </c>
      <c r="L92" s="104" t="s">
        <v>57</v>
      </c>
      <c r="M92" s="130">
        <v>0</v>
      </c>
      <c r="N92" s="130">
        <v>1</v>
      </c>
      <c r="O92" s="104" t="s">
        <v>57</v>
      </c>
      <c r="P92" s="129">
        <v>7.6923076923076927E-2</v>
      </c>
      <c r="Q92" s="132">
        <v>59</v>
      </c>
      <c r="R92" s="132">
        <v>20</v>
      </c>
      <c r="S92" s="128">
        <v>-66.101694915254242</v>
      </c>
      <c r="T92" s="130">
        <v>137</v>
      </c>
      <c r="U92" s="130">
        <v>20</v>
      </c>
      <c r="V92" s="128">
        <v>-85.40145985401459</v>
      </c>
      <c r="W92" s="129">
        <v>2.2801819129130122E-3</v>
      </c>
      <c r="X92" s="127">
        <v>16.368078099999998</v>
      </c>
      <c r="Y92" s="127">
        <v>2.7760437000000002</v>
      </c>
      <c r="Z92" s="128">
        <v>-83.039892142254629</v>
      </c>
      <c r="AA92" s="127">
        <v>57.286311699999999</v>
      </c>
      <c r="AB92" s="127">
        <v>2.7760437000000002</v>
      </c>
      <c r="AC92" s="128">
        <v>-95.154088965374953</v>
      </c>
      <c r="AD92" s="129">
        <v>7.9083427891988543E-3</v>
      </c>
    </row>
    <row r="93" spans="1:30" ht="13">
      <c r="A93" s="5"/>
      <c r="B93" s="106" t="s">
        <v>25</v>
      </c>
      <c r="C93" s="127">
        <v>0</v>
      </c>
      <c r="D93" s="127">
        <v>0</v>
      </c>
      <c r="E93" s="104" t="s">
        <v>57</v>
      </c>
      <c r="F93" s="127">
        <v>0</v>
      </c>
      <c r="G93" s="127">
        <v>0</v>
      </c>
      <c r="H93" s="104" t="s">
        <v>57</v>
      </c>
      <c r="I93" s="129">
        <v>0</v>
      </c>
      <c r="J93" s="130">
        <v>0</v>
      </c>
      <c r="K93" s="130">
        <v>0</v>
      </c>
      <c r="L93" s="104" t="s">
        <v>57</v>
      </c>
      <c r="M93" s="130">
        <v>0</v>
      </c>
      <c r="N93" s="130">
        <v>0</v>
      </c>
      <c r="O93" s="104" t="s">
        <v>57</v>
      </c>
      <c r="P93" s="129">
        <v>0</v>
      </c>
      <c r="Q93" s="131">
        <v>0</v>
      </c>
      <c r="R93" s="131">
        <v>0</v>
      </c>
      <c r="S93" s="104" t="s">
        <v>57</v>
      </c>
      <c r="T93" s="130">
        <v>0</v>
      </c>
      <c r="U93" s="130">
        <v>0</v>
      </c>
      <c r="V93" s="104" t="s">
        <v>57</v>
      </c>
      <c r="W93" s="129">
        <v>0</v>
      </c>
      <c r="X93" s="127">
        <v>0</v>
      </c>
      <c r="Y93" s="127">
        <v>0</v>
      </c>
      <c r="Z93" s="104" t="s">
        <v>57</v>
      </c>
      <c r="AA93" s="127">
        <v>0</v>
      </c>
      <c r="AB93" s="127">
        <v>0</v>
      </c>
      <c r="AC93" s="104" t="s">
        <v>57</v>
      </c>
      <c r="AD93" s="129">
        <v>0</v>
      </c>
    </row>
    <row r="94" spans="1:30" ht="13">
      <c r="A94" s="5"/>
      <c r="B94" s="106"/>
      <c r="C94" s="127"/>
      <c r="D94" s="127"/>
      <c r="E94" s="128"/>
      <c r="F94" s="127"/>
      <c r="G94" s="127"/>
      <c r="H94" s="128"/>
      <c r="I94" s="129"/>
      <c r="J94" s="130"/>
      <c r="K94" s="130"/>
      <c r="L94" s="128"/>
      <c r="M94" s="130"/>
      <c r="N94" s="130"/>
      <c r="O94" s="128"/>
      <c r="P94" s="129"/>
      <c r="Q94" s="131"/>
      <c r="R94" s="131"/>
      <c r="S94" s="128"/>
      <c r="T94" s="130"/>
      <c r="U94" s="130"/>
      <c r="V94" s="128"/>
      <c r="W94" s="129"/>
      <c r="X94" s="127"/>
      <c r="Y94" s="127"/>
      <c r="Z94" s="128"/>
      <c r="AA94" s="127"/>
      <c r="AB94" s="127"/>
      <c r="AC94" s="128"/>
      <c r="AD94" s="129"/>
    </row>
    <row r="95" spans="1:30" s="24" customFormat="1" ht="15.5">
      <c r="A95" s="16">
        <v>14</v>
      </c>
      <c r="B95" s="105" t="s">
        <v>50</v>
      </c>
      <c r="C95" s="123">
        <v>290.88435133200068</v>
      </c>
      <c r="D95" s="123">
        <v>520.71942575700132</v>
      </c>
      <c r="E95" s="124">
        <v>79.01252624025777</v>
      </c>
      <c r="F95" s="123">
        <v>715.03481903700117</v>
      </c>
      <c r="G95" s="123">
        <v>1219.8265576670035</v>
      </c>
      <c r="H95" s="124">
        <v>70.596805245071664</v>
      </c>
      <c r="I95" s="125">
        <v>1.6556964481391581</v>
      </c>
      <c r="J95" s="126">
        <v>21358</v>
      </c>
      <c r="K95" s="126">
        <v>24946</v>
      </c>
      <c r="L95" s="124">
        <v>16.799325779567376</v>
      </c>
      <c r="M95" s="126">
        <v>41803</v>
      </c>
      <c r="N95" s="126">
        <v>57463</v>
      </c>
      <c r="O95" s="124">
        <v>37.461426213429661</v>
      </c>
      <c r="P95" s="125">
        <v>1.1042976382216931</v>
      </c>
      <c r="Q95" s="126">
        <v>647856</v>
      </c>
      <c r="R95" s="126">
        <v>1760716</v>
      </c>
      <c r="S95" s="124">
        <v>171.77582672692697</v>
      </c>
      <c r="T95" s="126">
        <v>3376184</v>
      </c>
      <c r="U95" s="126">
        <v>4844280</v>
      </c>
      <c r="V95" s="124">
        <v>43.483885949343993</v>
      </c>
      <c r="W95" s="125">
        <v>10.212224274550785</v>
      </c>
      <c r="X95" s="123">
        <v>11377.998131951999</v>
      </c>
      <c r="Y95" s="123">
        <v>21532.077538936999</v>
      </c>
      <c r="Z95" s="124">
        <v>89.24311016074121</v>
      </c>
      <c r="AA95" s="123">
        <v>37181.740780223001</v>
      </c>
      <c r="AB95" s="123">
        <v>53541.257175856001</v>
      </c>
      <c r="AC95" s="124">
        <v>43.998790945083023</v>
      </c>
      <c r="AD95" s="125">
        <v>3.8264682882015606</v>
      </c>
    </row>
    <row r="96" spans="1:30" ht="13">
      <c r="A96" s="5"/>
      <c r="B96" s="106" t="s">
        <v>3</v>
      </c>
      <c r="C96" s="13">
        <v>80.216135100000002</v>
      </c>
      <c r="D96" s="13">
        <v>96.955110500000004</v>
      </c>
      <c r="E96" s="128">
        <v>20.867342186372678</v>
      </c>
      <c r="F96" s="13">
        <v>172.1719985</v>
      </c>
      <c r="G96" s="13">
        <v>232.79369839999998</v>
      </c>
      <c r="H96" s="128">
        <v>35.209964702825921</v>
      </c>
      <c r="I96" s="129">
        <v>2.8294565027345224</v>
      </c>
      <c r="J96" s="131">
        <v>2463</v>
      </c>
      <c r="K96" s="131">
        <v>2876</v>
      </c>
      <c r="L96" s="128">
        <v>16.768168899715793</v>
      </c>
      <c r="M96" s="131">
        <v>4170</v>
      </c>
      <c r="N96" s="131">
        <v>10979</v>
      </c>
      <c r="O96" s="128">
        <v>163.28537170263789</v>
      </c>
      <c r="P96" s="129">
        <v>4.3906516192502414</v>
      </c>
      <c r="Q96" s="132">
        <v>0</v>
      </c>
      <c r="R96" s="132">
        <v>0</v>
      </c>
      <c r="S96" s="104" t="s">
        <v>57</v>
      </c>
      <c r="T96" s="131">
        <v>0</v>
      </c>
      <c r="U96" s="131">
        <v>0</v>
      </c>
      <c r="V96" s="104" t="s">
        <v>57</v>
      </c>
      <c r="W96" s="104" t="s">
        <v>57</v>
      </c>
      <c r="X96" s="13">
        <v>555.34907190000001</v>
      </c>
      <c r="Y96" s="13">
        <v>362.06693630000001</v>
      </c>
      <c r="Z96" s="128">
        <v>-34.803719926771343</v>
      </c>
      <c r="AA96" s="13">
        <v>1194.6637397</v>
      </c>
      <c r="AB96" s="13">
        <v>955.41137820000006</v>
      </c>
      <c r="AC96" s="128">
        <v>-20.02675343273415</v>
      </c>
      <c r="AD96" s="129">
        <v>12.574336922426561</v>
      </c>
    </row>
    <row r="97" spans="1:30" ht="13">
      <c r="A97" s="5"/>
      <c r="B97" s="106" t="s">
        <v>4</v>
      </c>
      <c r="C97" s="13">
        <v>101.59141913000069</v>
      </c>
      <c r="D97" s="13">
        <v>134.3906235470015</v>
      </c>
      <c r="E97" s="128">
        <v>32.285408253850214</v>
      </c>
      <c r="F97" s="13">
        <v>212.37420889000117</v>
      </c>
      <c r="G97" s="13">
        <v>308.58625558700317</v>
      </c>
      <c r="H97" s="128">
        <v>45.303074794187857</v>
      </c>
      <c r="I97" s="129">
        <v>1.8518107397399182</v>
      </c>
      <c r="J97" s="131">
        <v>18838</v>
      </c>
      <c r="K97" s="131">
        <v>22022</v>
      </c>
      <c r="L97" s="128">
        <v>16.90200658243975</v>
      </c>
      <c r="M97" s="131">
        <v>37393</v>
      </c>
      <c r="N97" s="131">
        <v>46370</v>
      </c>
      <c r="O97" s="128">
        <v>24.007167116840051</v>
      </c>
      <c r="P97" s="129">
        <v>0.93737839299341486</v>
      </c>
      <c r="Q97" s="132">
        <v>0</v>
      </c>
      <c r="R97" s="132">
        <v>0</v>
      </c>
      <c r="S97" s="104" t="s">
        <v>57</v>
      </c>
      <c r="T97" s="131">
        <v>0</v>
      </c>
      <c r="U97" s="131">
        <v>0</v>
      </c>
      <c r="V97" s="104" t="s">
        <v>57</v>
      </c>
      <c r="W97" s="104" t="s">
        <v>57</v>
      </c>
      <c r="X97" s="13">
        <v>4401.6675603999993</v>
      </c>
      <c r="Y97" s="13">
        <v>4463.0595112000001</v>
      </c>
      <c r="Z97" s="128">
        <v>1.3947430140412933</v>
      </c>
      <c r="AA97" s="13">
        <v>9615.5595234000011</v>
      </c>
      <c r="AB97" s="13">
        <v>10594.351470600001</v>
      </c>
      <c r="AC97" s="128">
        <v>10.179251085889018</v>
      </c>
      <c r="AD97" s="129">
        <v>2.6451112040242015</v>
      </c>
    </row>
    <row r="98" spans="1:30" ht="13">
      <c r="A98" s="5"/>
      <c r="B98" s="106" t="s">
        <v>5</v>
      </c>
      <c r="C98" s="13">
        <v>50.044676928000015</v>
      </c>
      <c r="D98" s="13">
        <v>171.39109281299991</v>
      </c>
      <c r="E98" s="128">
        <v>242.47616996225733</v>
      </c>
      <c r="F98" s="13">
        <v>229.91805914699987</v>
      </c>
      <c r="G98" s="13">
        <v>489.19908558100047</v>
      </c>
      <c r="H98" s="128">
        <v>112.7710573914628</v>
      </c>
      <c r="I98" s="129">
        <v>1.0759769781854391</v>
      </c>
      <c r="J98" s="131">
        <v>6</v>
      </c>
      <c r="K98" s="131">
        <v>6</v>
      </c>
      <c r="L98" s="128">
        <v>0</v>
      </c>
      <c r="M98" s="131">
        <v>32</v>
      </c>
      <c r="N98" s="131">
        <v>16</v>
      </c>
      <c r="O98" s="128">
        <v>-50</v>
      </c>
      <c r="P98" s="129">
        <v>2.9962546816479403</v>
      </c>
      <c r="Q98" s="132">
        <v>604556</v>
      </c>
      <c r="R98" s="132">
        <v>1698877</v>
      </c>
      <c r="S98" s="128">
        <v>181.01234625080224</v>
      </c>
      <c r="T98" s="131">
        <v>3054312</v>
      </c>
      <c r="U98" s="131">
        <v>4678664</v>
      </c>
      <c r="V98" s="128">
        <v>53.182255119974641</v>
      </c>
      <c r="W98" s="129">
        <v>15.535121259017593</v>
      </c>
      <c r="X98" s="13">
        <v>4413.9645356999999</v>
      </c>
      <c r="Y98" s="13">
        <v>13309.804866199998</v>
      </c>
      <c r="Z98" s="128">
        <v>201.53855470633567</v>
      </c>
      <c r="AA98" s="13">
        <v>19616.942879099995</v>
      </c>
      <c r="AB98" s="13">
        <v>36840.631314200007</v>
      </c>
      <c r="AC98" s="128">
        <v>87.800064165197881</v>
      </c>
      <c r="AD98" s="129">
        <v>12.050363528162746</v>
      </c>
    </row>
    <row r="99" spans="1:30" ht="13">
      <c r="A99" s="5"/>
      <c r="B99" s="106" t="s">
        <v>6</v>
      </c>
      <c r="C99" s="13">
        <v>7.3558810000000016E-3</v>
      </c>
      <c r="D99" s="13">
        <v>2.0586060559999999</v>
      </c>
      <c r="E99" s="128">
        <v>27885.853169729085</v>
      </c>
      <c r="F99" s="13">
        <v>5.8489616000000008E-2</v>
      </c>
      <c r="G99" s="13">
        <v>4.1019829640000003</v>
      </c>
      <c r="H99" s="128">
        <v>6913.1815602961042</v>
      </c>
      <c r="I99" s="129">
        <v>0.37619901261530114</v>
      </c>
      <c r="J99" s="131">
        <v>1</v>
      </c>
      <c r="K99" s="131">
        <v>0</v>
      </c>
      <c r="L99" s="104">
        <v>-100</v>
      </c>
      <c r="M99" s="131">
        <v>3</v>
      </c>
      <c r="N99" s="131">
        <v>0</v>
      </c>
      <c r="O99" s="128">
        <v>-100</v>
      </c>
      <c r="P99" s="129">
        <v>0</v>
      </c>
      <c r="Q99" s="108">
        <v>1691</v>
      </c>
      <c r="R99" s="108">
        <v>12732</v>
      </c>
      <c r="S99" s="128">
        <v>652.92726197516265</v>
      </c>
      <c r="T99" s="131">
        <v>3253</v>
      </c>
      <c r="U99" s="131">
        <v>27708</v>
      </c>
      <c r="V99" s="128">
        <v>751.76759913925605</v>
      </c>
      <c r="W99" s="129">
        <v>3.1589640221496871</v>
      </c>
      <c r="X99" s="13">
        <v>9.5254492000000006</v>
      </c>
      <c r="Y99" s="13">
        <v>821.63864000000001</v>
      </c>
      <c r="Z99" s="128">
        <v>8525.7206641761313</v>
      </c>
      <c r="AA99" s="13">
        <v>20.1963875</v>
      </c>
      <c r="AB99" s="13">
        <v>1644.2812500999999</v>
      </c>
      <c r="AC99" s="128">
        <v>8041.4621803032842</v>
      </c>
      <c r="AD99" s="129">
        <v>4.6841985115879874</v>
      </c>
    </row>
    <row r="100" spans="1:30" ht="13">
      <c r="A100" s="5"/>
      <c r="B100" s="106" t="s">
        <v>25</v>
      </c>
      <c r="C100" s="13">
        <v>59.024764292999997</v>
      </c>
      <c r="D100" s="13">
        <v>115.92399284099996</v>
      </c>
      <c r="E100" s="128">
        <v>96.398908542101353</v>
      </c>
      <c r="F100" s="13">
        <v>100.51206288400006</v>
      </c>
      <c r="G100" s="13">
        <v>185.14553513500002</v>
      </c>
      <c r="H100" s="128">
        <v>84.202303507266166</v>
      </c>
      <c r="I100" s="129">
        <v>8.3134965962127954</v>
      </c>
      <c r="J100" s="131">
        <v>50</v>
      </c>
      <c r="K100" s="131">
        <v>42</v>
      </c>
      <c r="L100" s="128">
        <v>-16</v>
      </c>
      <c r="M100" s="131">
        <v>205</v>
      </c>
      <c r="N100" s="131">
        <v>98</v>
      </c>
      <c r="O100" s="128">
        <v>-52.195121951219512</v>
      </c>
      <c r="P100" s="129">
        <v>1.9934906427990235</v>
      </c>
      <c r="Q100" s="134">
        <v>41609</v>
      </c>
      <c r="R100" s="134">
        <v>49107</v>
      </c>
      <c r="S100" s="128">
        <v>18.020139873585041</v>
      </c>
      <c r="T100" s="131">
        <v>318619</v>
      </c>
      <c r="U100" s="131">
        <v>137908</v>
      </c>
      <c r="V100" s="128">
        <v>-56.716956615895477</v>
      </c>
      <c r="W100" s="129">
        <v>0.83874012606524151</v>
      </c>
      <c r="X100" s="13">
        <v>1997.4915147520003</v>
      </c>
      <c r="Y100" s="13">
        <v>2575.5075852370005</v>
      </c>
      <c r="Z100" s="128">
        <v>28.937097665556998</v>
      </c>
      <c r="AA100" s="13">
        <v>6734.378250523002</v>
      </c>
      <c r="AB100" s="13">
        <v>3506.5817627559991</v>
      </c>
      <c r="AC100" s="128">
        <v>-47.930133528159445</v>
      </c>
      <c r="AD100" s="129">
        <v>0.53923720525614038</v>
      </c>
    </row>
    <row r="101" spans="1:30" ht="13">
      <c r="A101" s="5"/>
      <c r="B101" s="106"/>
      <c r="C101" s="13"/>
      <c r="D101" s="13"/>
      <c r="E101" s="128"/>
      <c r="F101" s="13"/>
      <c r="G101" s="13"/>
      <c r="H101" s="128"/>
      <c r="I101" s="129"/>
      <c r="J101" s="131"/>
      <c r="K101" s="131"/>
      <c r="L101" s="128"/>
      <c r="M101" s="131"/>
      <c r="N101" s="131"/>
      <c r="O101" s="128"/>
      <c r="P101" s="129"/>
      <c r="Q101" s="134"/>
      <c r="R101" s="134"/>
      <c r="S101" s="128"/>
      <c r="T101" s="131"/>
      <c r="U101" s="131"/>
      <c r="V101" s="128"/>
      <c r="W101" s="129"/>
      <c r="X101" s="13"/>
      <c r="Y101" s="13"/>
      <c r="Z101" s="128"/>
      <c r="AA101" s="13"/>
      <c r="AB101" s="13"/>
      <c r="AC101" s="128"/>
      <c r="AD101" s="129"/>
    </row>
    <row r="102" spans="1:30" s="24" customFormat="1" ht="15.5">
      <c r="A102" s="16">
        <v>15</v>
      </c>
      <c r="B102" s="105" t="s">
        <v>19</v>
      </c>
      <c r="C102" s="123">
        <v>599.46100484099998</v>
      </c>
      <c r="D102" s="123">
        <v>651.67217772100003</v>
      </c>
      <c r="E102" s="124">
        <v>8.709686277900337</v>
      </c>
      <c r="F102" s="123">
        <v>1239.0728299179996</v>
      </c>
      <c r="G102" s="123">
        <v>1483.9801983090001</v>
      </c>
      <c r="H102" s="124">
        <v>19.765373146565423</v>
      </c>
      <c r="I102" s="125">
        <v>2.0142377848767814</v>
      </c>
      <c r="J102" s="126">
        <v>52268</v>
      </c>
      <c r="K102" s="126">
        <v>47906</v>
      </c>
      <c r="L102" s="124">
        <v>-8.3454503711640005</v>
      </c>
      <c r="M102" s="126">
        <v>110298</v>
      </c>
      <c r="N102" s="126">
        <v>112881</v>
      </c>
      <c r="O102" s="124">
        <v>2.3418375673176306</v>
      </c>
      <c r="P102" s="125">
        <v>2.1692954022606363</v>
      </c>
      <c r="Q102" s="126">
        <v>213018</v>
      </c>
      <c r="R102" s="126">
        <v>257664</v>
      </c>
      <c r="S102" s="124">
        <v>20.958792214742417</v>
      </c>
      <c r="T102" s="126">
        <v>809860</v>
      </c>
      <c r="U102" s="126">
        <v>672500</v>
      </c>
      <c r="V102" s="124">
        <v>-16.960956214654384</v>
      </c>
      <c r="W102" s="125">
        <v>1.4176969177329557</v>
      </c>
      <c r="X102" s="123">
        <v>21282.116785599999</v>
      </c>
      <c r="Y102" s="123">
        <v>17391.966656200002</v>
      </c>
      <c r="Z102" s="124">
        <v>-18.278962419904431</v>
      </c>
      <c r="AA102" s="123">
        <v>55155.852274400007</v>
      </c>
      <c r="AB102" s="123">
        <v>54566.2909832</v>
      </c>
      <c r="AC102" s="124">
        <v>-1.0689007002682931</v>
      </c>
      <c r="AD102" s="125">
        <v>3.8997250543856965</v>
      </c>
    </row>
    <row r="103" spans="1:30" ht="13">
      <c r="A103" s="5"/>
      <c r="B103" s="106" t="s">
        <v>3</v>
      </c>
      <c r="C103" s="13">
        <v>148.96959569999999</v>
      </c>
      <c r="D103" s="13">
        <v>194.07665219999998</v>
      </c>
      <c r="E103" s="128">
        <v>30.279370960258305</v>
      </c>
      <c r="F103" s="13">
        <v>303.70248670000001</v>
      </c>
      <c r="G103" s="13">
        <v>414.35011249999997</v>
      </c>
      <c r="H103" s="128">
        <v>36.432900830772141</v>
      </c>
      <c r="I103" s="129">
        <v>5.0361570277879384</v>
      </c>
      <c r="J103" s="131">
        <v>674</v>
      </c>
      <c r="K103" s="131">
        <v>1002</v>
      </c>
      <c r="L103" s="128">
        <v>48.664688427299701</v>
      </c>
      <c r="M103" s="131">
        <v>1289</v>
      </c>
      <c r="N103" s="131">
        <v>2133</v>
      </c>
      <c r="O103" s="128">
        <v>65.477114041892932</v>
      </c>
      <c r="P103" s="129">
        <v>0.85301574859830276</v>
      </c>
      <c r="Q103" s="131">
        <v>0</v>
      </c>
      <c r="R103" s="131">
        <v>0</v>
      </c>
      <c r="S103" s="104" t="s">
        <v>57</v>
      </c>
      <c r="T103" s="131">
        <v>0</v>
      </c>
      <c r="U103" s="131">
        <v>0</v>
      </c>
      <c r="V103" s="104" t="s">
        <v>57</v>
      </c>
      <c r="W103" s="104" t="s">
        <v>57</v>
      </c>
      <c r="X103" s="13">
        <v>242.45621329999997</v>
      </c>
      <c r="Y103" s="13">
        <v>254.44213280000002</v>
      </c>
      <c r="Z103" s="128">
        <v>4.9435398403956068</v>
      </c>
      <c r="AA103" s="13">
        <v>530.22215300000005</v>
      </c>
      <c r="AB103" s="13">
        <v>576.17858579999995</v>
      </c>
      <c r="AC103" s="128">
        <v>8.6673920619834792</v>
      </c>
      <c r="AD103" s="129">
        <v>7.5831875469038232</v>
      </c>
    </row>
    <row r="104" spans="1:30" ht="13">
      <c r="A104" s="5"/>
      <c r="B104" s="106" t="s">
        <v>4</v>
      </c>
      <c r="C104" s="13">
        <v>400.31761080000001</v>
      </c>
      <c r="D104" s="13">
        <v>388.53915050000001</v>
      </c>
      <c r="E104" s="128">
        <v>-2.9422788261704937</v>
      </c>
      <c r="F104" s="13">
        <v>800.07960939999987</v>
      </c>
      <c r="G104" s="13">
        <v>903.19422400000008</v>
      </c>
      <c r="H104" s="128">
        <v>12.88804431315635</v>
      </c>
      <c r="I104" s="129">
        <v>5.420023522734966</v>
      </c>
      <c r="J104" s="131">
        <v>51594</v>
      </c>
      <c r="K104" s="131">
        <v>46898</v>
      </c>
      <c r="L104" s="128">
        <v>-9.1018335465364189</v>
      </c>
      <c r="M104" s="131">
        <v>108983</v>
      </c>
      <c r="N104" s="131">
        <v>110718</v>
      </c>
      <c r="O104" s="128">
        <v>1.5919914115045466</v>
      </c>
      <c r="P104" s="129">
        <v>2.2381854844823144</v>
      </c>
      <c r="Q104" s="132">
        <v>0</v>
      </c>
      <c r="R104" s="132">
        <v>0</v>
      </c>
      <c r="S104" s="104" t="s">
        <v>57</v>
      </c>
      <c r="T104" s="131">
        <v>0</v>
      </c>
      <c r="U104" s="131">
        <v>0</v>
      </c>
      <c r="V104" s="104" t="s">
        <v>57</v>
      </c>
      <c r="W104" s="104" t="s">
        <v>57</v>
      </c>
      <c r="X104" s="13">
        <v>17188.499954399998</v>
      </c>
      <c r="Y104" s="13">
        <v>11681.057860200002</v>
      </c>
      <c r="Z104" s="128">
        <v>-32.04143531320878</v>
      </c>
      <c r="AA104" s="13">
        <v>42999.278886500004</v>
      </c>
      <c r="AB104" s="13">
        <v>35150.087468799997</v>
      </c>
      <c r="AC104" s="128">
        <v>-18.254239654619717</v>
      </c>
      <c r="AD104" s="129">
        <v>8.7759869440019589</v>
      </c>
    </row>
    <row r="105" spans="1:30" ht="13">
      <c r="A105" s="5"/>
      <c r="B105" s="106" t="s">
        <v>5</v>
      </c>
      <c r="C105" s="13">
        <v>48.843615154999959</v>
      </c>
      <c r="D105" s="13">
        <v>64.791841264999988</v>
      </c>
      <c r="E105" s="128">
        <v>32.65160873000503</v>
      </c>
      <c r="F105" s="13">
        <v>131.75754707099998</v>
      </c>
      <c r="G105" s="13">
        <v>151.72381030600002</v>
      </c>
      <c r="H105" s="128">
        <v>15.153790943179029</v>
      </c>
      <c r="I105" s="129">
        <v>0.33371143107911616</v>
      </c>
      <c r="J105" s="131">
        <v>0</v>
      </c>
      <c r="K105" s="131">
        <v>1</v>
      </c>
      <c r="L105" s="104" t="s">
        <v>57</v>
      </c>
      <c r="M105" s="131">
        <v>21</v>
      </c>
      <c r="N105" s="131">
        <v>1</v>
      </c>
      <c r="O105" s="128">
        <v>-95.238095238095227</v>
      </c>
      <c r="P105" s="129">
        <v>0.18726591760299627</v>
      </c>
      <c r="Q105" s="132">
        <v>155109</v>
      </c>
      <c r="R105" s="132">
        <v>330640</v>
      </c>
      <c r="S105" s="128">
        <v>113.16622504174482</v>
      </c>
      <c r="T105" s="131">
        <v>693497</v>
      </c>
      <c r="U105" s="131">
        <v>684543</v>
      </c>
      <c r="V105" s="128">
        <v>-1.2911375247477639</v>
      </c>
      <c r="W105" s="129">
        <v>2.2729690595459902</v>
      </c>
      <c r="X105" s="13">
        <v>3538.4014815</v>
      </c>
      <c r="Y105" s="13">
        <v>4116.3042341000009</v>
      </c>
      <c r="Z105" s="128">
        <v>16.332311514718683</v>
      </c>
      <c r="AA105" s="13">
        <v>10205.5371648</v>
      </c>
      <c r="AB105" s="13">
        <v>10524.7113696</v>
      </c>
      <c r="AC105" s="128">
        <v>3.1274610992635052</v>
      </c>
      <c r="AD105" s="129">
        <v>3.442573960012</v>
      </c>
    </row>
    <row r="106" spans="1:30" s="28" customFormat="1" ht="13">
      <c r="A106" s="5"/>
      <c r="B106" s="106" t="s">
        <v>6</v>
      </c>
      <c r="C106" s="13">
        <v>0</v>
      </c>
      <c r="D106" s="13">
        <v>0</v>
      </c>
      <c r="E106" s="104" t="s">
        <v>57</v>
      </c>
      <c r="F106" s="13">
        <v>0</v>
      </c>
      <c r="G106" s="13">
        <v>0</v>
      </c>
      <c r="H106" s="104" t="s">
        <v>57</v>
      </c>
      <c r="I106" s="129">
        <v>0</v>
      </c>
      <c r="J106" s="131">
        <v>0</v>
      </c>
      <c r="K106" s="131">
        <v>0</v>
      </c>
      <c r="L106" s="104" t="s">
        <v>57</v>
      </c>
      <c r="M106" s="131">
        <v>0</v>
      </c>
      <c r="N106" s="131">
        <v>0</v>
      </c>
      <c r="O106" s="104" t="s">
        <v>57</v>
      </c>
      <c r="P106" s="129">
        <v>0</v>
      </c>
      <c r="Q106" s="132">
        <v>0</v>
      </c>
      <c r="R106" s="132">
        <v>0</v>
      </c>
      <c r="S106" s="104" t="s">
        <v>57</v>
      </c>
      <c r="T106" s="131">
        <v>0</v>
      </c>
      <c r="U106" s="131">
        <v>0</v>
      </c>
      <c r="V106" s="104" t="s">
        <v>57</v>
      </c>
      <c r="W106" s="129">
        <v>0</v>
      </c>
      <c r="X106" s="13">
        <v>0</v>
      </c>
      <c r="Y106" s="13">
        <v>0</v>
      </c>
      <c r="Z106" s="104" t="s">
        <v>57</v>
      </c>
      <c r="AA106" s="13">
        <v>0</v>
      </c>
      <c r="AB106" s="13">
        <v>0</v>
      </c>
      <c r="AC106" s="104" t="s">
        <v>57</v>
      </c>
      <c r="AD106" s="129">
        <v>0</v>
      </c>
    </row>
    <row r="107" spans="1:30" s="28" customFormat="1" ht="13">
      <c r="A107" s="5"/>
      <c r="B107" s="106" t="s">
        <v>25</v>
      </c>
      <c r="C107" s="13">
        <v>1.3301831860000011</v>
      </c>
      <c r="D107" s="13">
        <v>4.2645337560000032</v>
      </c>
      <c r="E107" s="128">
        <v>220.59747866937781</v>
      </c>
      <c r="F107" s="13">
        <v>3.5331867470000007</v>
      </c>
      <c r="G107" s="13">
        <v>14.712051502999998</v>
      </c>
      <c r="H107" s="128">
        <v>316.3960910215651</v>
      </c>
      <c r="I107" s="129">
        <v>0.66060782942627139</v>
      </c>
      <c r="J107" s="131">
        <v>0</v>
      </c>
      <c r="K107" s="131">
        <v>5</v>
      </c>
      <c r="L107" s="104" t="s">
        <v>57</v>
      </c>
      <c r="M107" s="131">
        <v>5</v>
      </c>
      <c r="N107" s="131">
        <v>29</v>
      </c>
      <c r="O107" s="128">
        <v>480</v>
      </c>
      <c r="P107" s="129">
        <v>0.58991049633848658</v>
      </c>
      <c r="Q107" s="132">
        <v>57909</v>
      </c>
      <c r="R107" s="132">
        <v>-72976</v>
      </c>
      <c r="S107" s="128">
        <v>-226.01840819216358</v>
      </c>
      <c r="T107" s="131">
        <v>116363</v>
      </c>
      <c r="U107" s="131">
        <v>-12043</v>
      </c>
      <c r="V107" s="128">
        <v>-110.34950972388131</v>
      </c>
      <c r="W107" s="129">
        <v>-7.3244099966671292E-2</v>
      </c>
      <c r="X107" s="13">
        <v>312.75913639999999</v>
      </c>
      <c r="Y107" s="13">
        <v>1340.1624290999998</v>
      </c>
      <c r="Z107" s="128">
        <v>328.49665225639109</v>
      </c>
      <c r="AA107" s="13">
        <v>1420.8140701</v>
      </c>
      <c r="AB107" s="13">
        <v>8315.3135590000002</v>
      </c>
      <c r="AC107" s="128">
        <v>485.24994466128499</v>
      </c>
      <c r="AD107" s="129">
        <v>1.2787172088807952</v>
      </c>
    </row>
    <row r="108" spans="1:30" s="28" customFormat="1" ht="13">
      <c r="A108" s="5"/>
      <c r="B108" s="106"/>
      <c r="C108" s="13"/>
      <c r="D108" s="13"/>
      <c r="E108" s="128"/>
      <c r="F108" s="13"/>
      <c r="G108" s="13"/>
      <c r="H108" s="128"/>
      <c r="I108" s="129"/>
      <c r="J108" s="131"/>
      <c r="K108" s="131"/>
      <c r="L108" s="128"/>
      <c r="M108" s="131"/>
      <c r="N108" s="131"/>
      <c r="O108" s="128"/>
      <c r="P108" s="129"/>
      <c r="Q108" s="132"/>
      <c r="R108" s="132"/>
      <c r="S108" s="128"/>
      <c r="T108" s="131"/>
      <c r="U108" s="131"/>
      <c r="V108" s="128"/>
      <c r="W108" s="129"/>
      <c r="X108" s="13"/>
      <c r="Y108" s="13"/>
      <c r="Z108" s="128"/>
      <c r="AA108" s="13"/>
      <c r="AB108" s="13"/>
      <c r="AC108" s="128"/>
      <c r="AD108" s="129"/>
    </row>
    <row r="109" spans="1:30" s="29" customFormat="1" ht="15.5">
      <c r="A109" s="16">
        <v>16</v>
      </c>
      <c r="B109" s="105" t="s">
        <v>21</v>
      </c>
      <c r="C109" s="123">
        <v>136.222747981</v>
      </c>
      <c r="D109" s="123">
        <v>196.58445045200006</v>
      </c>
      <c r="E109" s="124">
        <v>44.311029813771746</v>
      </c>
      <c r="F109" s="123">
        <v>321.19808478300001</v>
      </c>
      <c r="G109" s="123">
        <v>497.70167468700004</v>
      </c>
      <c r="H109" s="124">
        <v>54.951632113013702</v>
      </c>
      <c r="I109" s="125">
        <v>0.67554103477482208</v>
      </c>
      <c r="J109" s="126">
        <v>18825</v>
      </c>
      <c r="K109" s="126">
        <v>22044</v>
      </c>
      <c r="L109" s="124">
        <v>17.099601593625501</v>
      </c>
      <c r="M109" s="126">
        <v>42088</v>
      </c>
      <c r="N109" s="126">
        <v>56292</v>
      </c>
      <c r="O109" s="124">
        <v>33.748336818095417</v>
      </c>
      <c r="P109" s="125">
        <v>1.0817938960857518</v>
      </c>
      <c r="Q109" s="126">
        <v>181099</v>
      </c>
      <c r="R109" s="126">
        <v>326191</v>
      </c>
      <c r="S109" s="124">
        <v>80.117504790197628</v>
      </c>
      <c r="T109" s="126">
        <v>693894</v>
      </c>
      <c r="U109" s="126">
        <v>725879</v>
      </c>
      <c r="V109" s="124">
        <v>4.6094936690618455</v>
      </c>
      <c r="W109" s="125">
        <v>1.5302251612595987</v>
      </c>
      <c r="X109" s="123">
        <v>20359.718244793999</v>
      </c>
      <c r="Y109" s="123">
        <v>19137.054750399999</v>
      </c>
      <c r="Z109" s="124">
        <v>-6.0053065552939913</v>
      </c>
      <c r="AA109" s="123">
        <v>100847.70373047399</v>
      </c>
      <c r="AB109" s="123">
        <v>47600.987375846998</v>
      </c>
      <c r="AC109" s="124">
        <v>-52.799136108179908</v>
      </c>
      <c r="AD109" s="125">
        <v>3.4019311142155546</v>
      </c>
    </row>
    <row r="110" spans="1:30" s="28" customFormat="1" ht="13">
      <c r="A110" s="5"/>
      <c r="B110" s="106" t="s">
        <v>3</v>
      </c>
      <c r="C110" s="13">
        <v>10.409257169</v>
      </c>
      <c r="D110" s="13">
        <v>11.206569400000001</v>
      </c>
      <c r="E110" s="128">
        <v>7.659645813867404</v>
      </c>
      <c r="F110" s="13">
        <v>23.648320362</v>
      </c>
      <c r="G110" s="13">
        <v>26.644377800000001</v>
      </c>
      <c r="H110" s="128">
        <v>12.669218752695452</v>
      </c>
      <c r="I110" s="129">
        <v>0.32384514076488141</v>
      </c>
      <c r="J110" s="131">
        <v>148</v>
      </c>
      <c r="K110" s="131">
        <v>216</v>
      </c>
      <c r="L110" s="128">
        <v>45.945945945945951</v>
      </c>
      <c r="M110" s="131">
        <v>341</v>
      </c>
      <c r="N110" s="131">
        <v>494</v>
      </c>
      <c r="O110" s="128">
        <v>44.868035190615835</v>
      </c>
      <c r="P110" s="129">
        <v>0.19755732761723466</v>
      </c>
      <c r="Q110" s="132">
        <v>0</v>
      </c>
      <c r="R110" s="132">
        <v>0</v>
      </c>
      <c r="S110" s="104" t="s">
        <v>57</v>
      </c>
      <c r="T110" s="131">
        <v>0</v>
      </c>
      <c r="U110" s="131">
        <v>0</v>
      </c>
      <c r="V110" s="104" t="s">
        <v>57</v>
      </c>
      <c r="W110" s="104" t="s">
        <v>57</v>
      </c>
      <c r="X110" s="13">
        <v>1.176579</v>
      </c>
      <c r="Y110" s="13">
        <v>2.399743</v>
      </c>
      <c r="Z110" s="128">
        <v>103.95936014496263</v>
      </c>
      <c r="AA110" s="13">
        <v>6.6777823000000005</v>
      </c>
      <c r="AB110" s="13">
        <v>4.2718425</v>
      </c>
      <c r="AC110" s="128">
        <v>-36.029024186667485</v>
      </c>
      <c r="AD110" s="129">
        <v>5.6222469294579074E-2</v>
      </c>
    </row>
    <row r="111" spans="1:30" s="28" customFormat="1" ht="13">
      <c r="A111" s="5"/>
      <c r="B111" s="106" t="s">
        <v>4</v>
      </c>
      <c r="C111" s="13">
        <v>94.938959406000009</v>
      </c>
      <c r="D111" s="13">
        <v>112.19986063900002</v>
      </c>
      <c r="E111" s="128">
        <v>18.181051636752137</v>
      </c>
      <c r="F111" s="13">
        <v>205.23244267199999</v>
      </c>
      <c r="G111" s="13">
        <v>299.98636528199995</v>
      </c>
      <c r="H111" s="128">
        <v>46.169076085808975</v>
      </c>
      <c r="I111" s="129">
        <v>1.8002032266408778</v>
      </c>
      <c r="J111" s="131">
        <v>18665</v>
      </c>
      <c r="K111" s="131">
        <v>21819</v>
      </c>
      <c r="L111" s="128">
        <v>16.897937315831772</v>
      </c>
      <c r="M111" s="131">
        <v>41695</v>
      </c>
      <c r="N111" s="131">
        <v>55777</v>
      </c>
      <c r="O111" s="128">
        <v>33.773833793020749</v>
      </c>
      <c r="P111" s="129">
        <v>1.1275426919558702</v>
      </c>
      <c r="Q111" s="132">
        <v>0</v>
      </c>
      <c r="R111" s="132">
        <v>0</v>
      </c>
      <c r="S111" s="104" t="s">
        <v>57</v>
      </c>
      <c r="T111" s="131">
        <v>0</v>
      </c>
      <c r="U111" s="131">
        <v>0</v>
      </c>
      <c r="V111" s="104" t="s">
        <v>57</v>
      </c>
      <c r="W111" s="104" t="s">
        <v>57</v>
      </c>
      <c r="X111" s="13">
        <v>3581.4759419940001</v>
      </c>
      <c r="Y111" s="13">
        <v>3002.0229180000001</v>
      </c>
      <c r="Z111" s="128">
        <v>-16.179168403722052</v>
      </c>
      <c r="AA111" s="13">
        <v>8945.3266320739986</v>
      </c>
      <c r="AB111" s="13">
        <v>8121.3107209999989</v>
      </c>
      <c r="AC111" s="128">
        <v>-9.2116917018931623</v>
      </c>
      <c r="AD111" s="129">
        <v>2.0276625746363282</v>
      </c>
    </row>
    <row r="112" spans="1:30" s="31" customFormat="1" ht="13">
      <c r="A112" s="30"/>
      <c r="B112" s="106" t="s">
        <v>5</v>
      </c>
      <c r="C112" s="13">
        <v>23.072745602999998</v>
      </c>
      <c r="D112" s="13">
        <v>64.860320076000008</v>
      </c>
      <c r="E112" s="128">
        <v>181.11227502793011</v>
      </c>
      <c r="F112" s="13">
        <v>64.690864848000004</v>
      </c>
      <c r="G112" s="13">
        <v>144.08912772599999</v>
      </c>
      <c r="H112" s="128">
        <v>122.7348916490095</v>
      </c>
      <c r="I112" s="129">
        <v>0.3169192028555553</v>
      </c>
      <c r="J112" s="131">
        <v>0</v>
      </c>
      <c r="K112" s="131">
        <v>0</v>
      </c>
      <c r="L112" s="104" t="s">
        <v>57</v>
      </c>
      <c r="M112" s="131">
        <v>1</v>
      </c>
      <c r="N112" s="131">
        <v>0</v>
      </c>
      <c r="O112" s="128">
        <v>-100</v>
      </c>
      <c r="P112" s="129">
        <v>0</v>
      </c>
      <c r="Q112" s="131">
        <v>15702</v>
      </c>
      <c r="R112" s="131">
        <v>260794</v>
      </c>
      <c r="S112" s="128">
        <v>1560.8967010571903</v>
      </c>
      <c r="T112" s="131">
        <v>126042</v>
      </c>
      <c r="U112" s="131">
        <v>525332</v>
      </c>
      <c r="V112" s="128">
        <v>316.79122832071852</v>
      </c>
      <c r="W112" s="129">
        <v>1.7443219520021591</v>
      </c>
      <c r="X112" s="13">
        <v>1274.2648557</v>
      </c>
      <c r="Y112" s="13">
        <v>3070.0269493000001</v>
      </c>
      <c r="Z112" s="128">
        <v>140.92534103622617</v>
      </c>
      <c r="AA112" s="13">
        <v>3758.0351329999999</v>
      </c>
      <c r="AB112" s="13">
        <v>7517.5776607999996</v>
      </c>
      <c r="AC112" s="128">
        <v>100.04011124820956</v>
      </c>
      <c r="AD112" s="129">
        <v>2.4589574182709</v>
      </c>
    </row>
    <row r="113" spans="1:30" s="28" customFormat="1" ht="13">
      <c r="A113" s="5"/>
      <c r="B113" s="106" t="s">
        <v>6</v>
      </c>
      <c r="C113" s="13">
        <v>0.16529263899999996</v>
      </c>
      <c r="D113" s="13">
        <v>-1.623499625</v>
      </c>
      <c r="E113" s="128">
        <v>-1082.1971715267975</v>
      </c>
      <c r="F113" s="13">
        <v>0.46995506599999992</v>
      </c>
      <c r="G113" s="13">
        <v>7.4454799999999752E-2</v>
      </c>
      <c r="H113" s="128">
        <v>-84.157038536956691</v>
      </c>
      <c r="I113" s="129">
        <v>6.8283614267271794E-3</v>
      </c>
      <c r="J113" s="131">
        <v>12</v>
      </c>
      <c r="K113" s="131">
        <v>9</v>
      </c>
      <c r="L113" s="128">
        <v>-25</v>
      </c>
      <c r="M113" s="131">
        <v>51</v>
      </c>
      <c r="N113" s="131">
        <v>21</v>
      </c>
      <c r="O113" s="128">
        <v>-58.82352941176471</v>
      </c>
      <c r="P113" s="129">
        <v>1.6153846153846154</v>
      </c>
      <c r="Q113" s="132">
        <v>162541</v>
      </c>
      <c r="R113" s="132">
        <v>64215</v>
      </c>
      <c r="S113" s="128">
        <v>-60.493044831765516</v>
      </c>
      <c r="T113" s="131">
        <v>553643</v>
      </c>
      <c r="U113" s="131">
        <v>174576</v>
      </c>
      <c r="V113" s="128">
        <v>-68.467767135139439</v>
      </c>
      <c r="W113" s="129">
        <v>19.903251881435104</v>
      </c>
      <c r="X113" s="13">
        <v>14902.371661000001</v>
      </c>
      <c r="Y113" s="13">
        <v>12838.260519699999</v>
      </c>
      <c r="Z113" s="128">
        <v>-13.850890235826347</v>
      </c>
      <c r="AA113" s="13">
        <v>85345.434365699999</v>
      </c>
      <c r="AB113" s="13">
        <v>27624.481418447005</v>
      </c>
      <c r="AC113" s="128">
        <v>-67.632150889199565</v>
      </c>
      <c r="AD113" s="129">
        <v>78.696120104641381</v>
      </c>
    </row>
    <row r="114" spans="1:30" s="28" customFormat="1" ht="13">
      <c r="A114" s="5"/>
      <c r="B114" s="106" t="s">
        <v>25</v>
      </c>
      <c r="C114" s="13">
        <v>7.636493164</v>
      </c>
      <c r="D114" s="13">
        <v>9.9411999620000007</v>
      </c>
      <c r="E114" s="128">
        <v>30.180172344877654</v>
      </c>
      <c r="F114" s="13">
        <v>27.156501835</v>
      </c>
      <c r="G114" s="13">
        <v>26.907349078999999</v>
      </c>
      <c r="H114" s="128">
        <v>-0.91746999489782</v>
      </c>
      <c r="I114" s="129">
        <v>1.2082071264546996</v>
      </c>
      <c r="J114" s="131">
        <v>0</v>
      </c>
      <c r="K114" s="131">
        <v>0</v>
      </c>
      <c r="L114" s="104" t="s">
        <v>57</v>
      </c>
      <c r="M114" s="131">
        <v>0</v>
      </c>
      <c r="N114" s="131">
        <v>0</v>
      </c>
      <c r="O114" s="104" t="s">
        <v>57</v>
      </c>
      <c r="P114" s="129">
        <v>0</v>
      </c>
      <c r="Q114" s="132">
        <v>2856</v>
      </c>
      <c r="R114" s="132">
        <v>1182</v>
      </c>
      <c r="S114" s="128">
        <v>-58.613445378151262</v>
      </c>
      <c r="T114" s="131">
        <v>14209</v>
      </c>
      <c r="U114" s="131">
        <v>25971</v>
      </c>
      <c r="V114" s="128">
        <v>82.778520655922307</v>
      </c>
      <c r="W114" s="129">
        <v>0.15795254672709624</v>
      </c>
      <c r="X114" s="13">
        <v>600.42920709999999</v>
      </c>
      <c r="Y114" s="13">
        <v>224.3446204</v>
      </c>
      <c r="Z114" s="128">
        <v>-62.635958120099254</v>
      </c>
      <c r="AA114" s="13">
        <v>2792.2298174000002</v>
      </c>
      <c r="AB114" s="13">
        <v>4333.3457330999991</v>
      </c>
      <c r="AC114" s="128">
        <v>55.193018357458023</v>
      </c>
      <c r="AD114" s="129">
        <v>0.66637580430719312</v>
      </c>
    </row>
    <row r="115" spans="1:30" s="28" customFormat="1" ht="13">
      <c r="A115" s="5"/>
      <c r="B115" s="106"/>
      <c r="C115" s="13"/>
      <c r="D115" s="13"/>
      <c r="E115" s="128"/>
      <c r="F115" s="13"/>
      <c r="G115" s="13"/>
      <c r="H115" s="128"/>
      <c r="I115" s="129"/>
      <c r="J115" s="131"/>
      <c r="K115" s="131"/>
      <c r="L115" s="128"/>
      <c r="M115" s="131"/>
      <c r="N115" s="131"/>
      <c r="O115" s="128"/>
      <c r="P115" s="129"/>
      <c r="Q115" s="132"/>
      <c r="R115" s="132"/>
      <c r="S115" s="128"/>
      <c r="T115" s="131"/>
      <c r="U115" s="131"/>
      <c r="V115" s="128"/>
      <c r="W115" s="129"/>
      <c r="X115" s="13"/>
      <c r="Y115" s="13"/>
      <c r="Z115" s="128"/>
      <c r="AA115" s="13"/>
      <c r="AB115" s="13"/>
      <c r="AC115" s="128"/>
      <c r="AD115" s="129"/>
    </row>
    <row r="116" spans="1:30" s="29" customFormat="1" ht="15.5">
      <c r="A116" s="16">
        <v>17</v>
      </c>
      <c r="B116" s="105" t="s">
        <v>58</v>
      </c>
      <c r="C116" s="123">
        <v>18.970742161</v>
      </c>
      <c r="D116" s="123">
        <v>38.092604926000007</v>
      </c>
      <c r="E116" s="124">
        <v>100.79659827073439</v>
      </c>
      <c r="F116" s="123">
        <v>54.840283723999995</v>
      </c>
      <c r="G116" s="123">
        <v>97.856341892999978</v>
      </c>
      <c r="H116" s="124">
        <v>78.43879580472462</v>
      </c>
      <c r="I116" s="125">
        <v>0.13282248749363645</v>
      </c>
      <c r="J116" s="126">
        <v>1888</v>
      </c>
      <c r="K116" s="126">
        <v>3111</v>
      </c>
      <c r="L116" s="124">
        <v>64.777542372881356</v>
      </c>
      <c r="M116" s="126">
        <v>4381</v>
      </c>
      <c r="N116" s="126">
        <v>6951</v>
      </c>
      <c r="O116" s="124">
        <v>58.662405843414746</v>
      </c>
      <c r="P116" s="125">
        <v>0.13358113713657466</v>
      </c>
      <c r="Q116" s="126">
        <v>80847</v>
      </c>
      <c r="R116" s="126">
        <v>40571</v>
      </c>
      <c r="S116" s="124">
        <v>-49.817556619293235</v>
      </c>
      <c r="T116" s="126">
        <v>224010</v>
      </c>
      <c r="U116" s="126">
        <v>109334</v>
      </c>
      <c r="V116" s="124">
        <v>-51.192357484040897</v>
      </c>
      <c r="W116" s="125">
        <v>0.23048695138054273</v>
      </c>
      <c r="X116" s="123">
        <v>4846.1624185000001</v>
      </c>
      <c r="Y116" s="123">
        <v>2474.2444636999999</v>
      </c>
      <c r="Z116" s="124">
        <v>-48.944252172508982</v>
      </c>
      <c r="AA116" s="123">
        <v>13050.433729599999</v>
      </c>
      <c r="AB116" s="123">
        <v>10758.364861399999</v>
      </c>
      <c r="AC116" s="124">
        <v>-17.563162387479153</v>
      </c>
      <c r="AD116" s="125">
        <v>0.76887514687669312</v>
      </c>
    </row>
    <row r="117" spans="1:30" s="28" customFormat="1" ht="13">
      <c r="A117" s="5"/>
      <c r="B117" s="106" t="s">
        <v>3</v>
      </c>
      <c r="C117" s="13">
        <v>0.20569999999999999</v>
      </c>
      <c r="D117" s="13">
        <v>0.63090000000000002</v>
      </c>
      <c r="E117" s="104">
        <v>206.70879922216821</v>
      </c>
      <c r="F117" s="13">
        <v>0.38175300000000001</v>
      </c>
      <c r="G117" s="13">
        <v>1.5447435999999999</v>
      </c>
      <c r="H117" s="128">
        <v>304.64478340707205</v>
      </c>
      <c r="I117" s="129">
        <v>1.8775357125721648E-2</v>
      </c>
      <c r="J117" s="131">
        <v>4</v>
      </c>
      <c r="K117" s="131">
        <v>8</v>
      </c>
      <c r="L117" s="104">
        <v>100</v>
      </c>
      <c r="M117" s="131">
        <v>8</v>
      </c>
      <c r="N117" s="131">
        <v>22</v>
      </c>
      <c r="O117" s="128">
        <v>175</v>
      </c>
      <c r="P117" s="129">
        <v>8.7980996104841357E-3</v>
      </c>
      <c r="Q117" s="134">
        <v>0</v>
      </c>
      <c r="R117" s="134">
        <v>0</v>
      </c>
      <c r="S117" s="104" t="s">
        <v>57</v>
      </c>
      <c r="T117" s="131">
        <v>0</v>
      </c>
      <c r="U117" s="131">
        <v>0</v>
      </c>
      <c r="V117" s="104" t="s">
        <v>57</v>
      </c>
      <c r="W117" s="104" t="s">
        <v>57</v>
      </c>
      <c r="X117" s="13">
        <v>0.43212499999999998</v>
      </c>
      <c r="Y117" s="13">
        <v>0.76737499999999992</v>
      </c>
      <c r="Z117" s="104">
        <v>77.581718252820352</v>
      </c>
      <c r="AA117" s="13">
        <v>0.65219130000000003</v>
      </c>
      <c r="AB117" s="13">
        <v>1.9040177</v>
      </c>
      <c r="AC117" s="128">
        <v>191.94159750367723</v>
      </c>
      <c r="AD117" s="129">
        <v>2.5059111302578475E-2</v>
      </c>
    </row>
    <row r="118" spans="1:30" s="28" customFormat="1" ht="13">
      <c r="A118" s="5"/>
      <c r="B118" s="106" t="s">
        <v>4</v>
      </c>
      <c r="C118" s="13">
        <v>9.8618525999999989</v>
      </c>
      <c r="D118" s="13">
        <v>11.283110400000004</v>
      </c>
      <c r="E118" s="128">
        <v>14.411671494664247</v>
      </c>
      <c r="F118" s="13">
        <v>25.030295599999999</v>
      </c>
      <c r="G118" s="13">
        <v>29.808987899999998</v>
      </c>
      <c r="H118" s="128">
        <v>19.091633500325102</v>
      </c>
      <c r="I118" s="129">
        <v>0.17888225069840788</v>
      </c>
      <c r="J118" s="131">
        <v>1867</v>
      </c>
      <c r="K118" s="131">
        <v>3089</v>
      </c>
      <c r="L118" s="128">
        <v>65.452597750401708</v>
      </c>
      <c r="M118" s="131">
        <v>4316</v>
      </c>
      <c r="N118" s="131">
        <v>6896</v>
      </c>
      <c r="O118" s="128">
        <v>59.777571825764596</v>
      </c>
      <c r="P118" s="129">
        <v>0.13940395510206144</v>
      </c>
      <c r="Q118" s="134">
        <v>0</v>
      </c>
      <c r="R118" s="134">
        <v>0</v>
      </c>
      <c r="S118" s="104" t="s">
        <v>57</v>
      </c>
      <c r="T118" s="131">
        <v>0</v>
      </c>
      <c r="U118" s="131">
        <v>0</v>
      </c>
      <c r="V118" s="104" t="s">
        <v>57</v>
      </c>
      <c r="W118" s="104" t="s">
        <v>57</v>
      </c>
      <c r="X118" s="13">
        <v>80.354760600000006</v>
      </c>
      <c r="Y118" s="13">
        <v>105.0299576</v>
      </c>
      <c r="Z118" s="128">
        <v>30.707822182224255</v>
      </c>
      <c r="AA118" s="13">
        <v>179.19795780000001</v>
      </c>
      <c r="AB118" s="13">
        <v>243.8683858</v>
      </c>
      <c r="AC118" s="128">
        <v>36.088819757743906</v>
      </c>
      <c r="AD118" s="129">
        <v>6.0887068111432428E-2</v>
      </c>
    </row>
    <row r="119" spans="1:30" s="28" customFormat="1" ht="13">
      <c r="A119" s="5"/>
      <c r="B119" s="106" t="s">
        <v>5</v>
      </c>
      <c r="C119" s="13">
        <v>3.2195982930000002</v>
      </c>
      <c r="D119" s="13">
        <v>21.593472040000002</v>
      </c>
      <c r="E119" s="128">
        <v>570.688392615569</v>
      </c>
      <c r="F119" s="13">
        <v>16.512222745999996</v>
      </c>
      <c r="G119" s="13">
        <v>52.094705385999987</v>
      </c>
      <c r="H119" s="128">
        <v>215.49177955838607</v>
      </c>
      <c r="I119" s="129">
        <v>0.11458055694057079</v>
      </c>
      <c r="J119" s="131">
        <v>0</v>
      </c>
      <c r="K119" s="131">
        <v>5</v>
      </c>
      <c r="L119" s="104" t="s">
        <v>57</v>
      </c>
      <c r="M119" s="131">
        <v>0</v>
      </c>
      <c r="N119" s="131">
        <v>9</v>
      </c>
      <c r="O119" s="104" t="s">
        <v>57</v>
      </c>
      <c r="P119" s="129">
        <v>1.6853932584269662</v>
      </c>
      <c r="Q119" s="134">
        <v>3494</v>
      </c>
      <c r="R119" s="134">
        <v>34281</v>
      </c>
      <c r="S119" s="128">
        <v>881.13909559244416</v>
      </c>
      <c r="T119" s="131">
        <v>41595</v>
      </c>
      <c r="U119" s="131">
        <v>77653</v>
      </c>
      <c r="V119" s="128">
        <v>86.688303882678213</v>
      </c>
      <c r="W119" s="129">
        <v>0.25784043716892108</v>
      </c>
      <c r="X119" s="13">
        <v>162.83655659999999</v>
      </c>
      <c r="Y119" s="13">
        <v>1102.3658914</v>
      </c>
      <c r="Z119" s="128">
        <v>576.9769113381019</v>
      </c>
      <c r="AA119" s="13">
        <v>818.40726859999995</v>
      </c>
      <c r="AB119" s="13">
        <v>2723.1077823000001</v>
      </c>
      <c r="AC119" s="128">
        <v>232.73259986537713</v>
      </c>
      <c r="AD119" s="129">
        <v>0.89071325687179326</v>
      </c>
    </row>
    <row r="120" spans="1:30" s="28" customFormat="1" ht="13">
      <c r="A120" s="5"/>
      <c r="B120" s="106" t="s">
        <v>6</v>
      </c>
      <c r="C120" s="13">
        <v>0</v>
      </c>
      <c r="D120" s="13">
        <v>0</v>
      </c>
      <c r="E120" s="104" t="s">
        <v>57</v>
      </c>
      <c r="F120" s="13">
        <v>0</v>
      </c>
      <c r="G120" s="13">
        <v>0</v>
      </c>
      <c r="H120" s="104" t="s">
        <v>57</v>
      </c>
      <c r="I120" s="129">
        <v>0</v>
      </c>
      <c r="J120" s="131">
        <v>0</v>
      </c>
      <c r="K120" s="131">
        <v>0</v>
      </c>
      <c r="L120" s="104" t="s">
        <v>57</v>
      </c>
      <c r="M120" s="131">
        <v>0</v>
      </c>
      <c r="N120" s="131">
        <v>0</v>
      </c>
      <c r="O120" s="104" t="s">
        <v>57</v>
      </c>
      <c r="P120" s="129">
        <v>0</v>
      </c>
      <c r="Q120" s="108">
        <v>0</v>
      </c>
      <c r="R120" s="108">
        <v>0</v>
      </c>
      <c r="S120" s="104" t="s">
        <v>57</v>
      </c>
      <c r="T120" s="131">
        <v>0</v>
      </c>
      <c r="U120" s="131">
        <v>0</v>
      </c>
      <c r="V120" s="104" t="s">
        <v>57</v>
      </c>
      <c r="W120" s="129">
        <v>0</v>
      </c>
      <c r="X120" s="13">
        <v>0</v>
      </c>
      <c r="Y120" s="13">
        <v>0</v>
      </c>
      <c r="Z120" s="104" t="s">
        <v>57</v>
      </c>
      <c r="AA120" s="13">
        <v>0</v>
      </c>
      <c r="AB120" s="13">
        <v>0</v>
      </c>
      <c r="AC120" s="104" t="s">
        <v>57</v>
      </c>
      <c r="AD120" s="129">
        <v>0</v>
      </c>
    </row>
    <row r="121" spans="1:30" s="28" customFormat="1" ht="13">
      <c r="A121" s="5"/>
      <c r="B121" s="106" t="s">
        <v>25</v>
      </c>
      <c r="C121" s="13">
        <v>5.6835912679999998</v>
      </c>
      <c r="D121" s="13">
        <v>4.5851224860000004</v>
      </c>
      <c r="E121" s="128">
        <v>-19.32701931232539</v>
      </c>
      <c r="F121" s="13">
        <v>12.916012378</v>
      </c>
      <c r="G121" s="13">
        <v>14.407905006999995</v>
      </c>
      <c r="H121" s="128">
        <v>11.550721579836468</v>
      </c>
      <c r="I121" s="129">
        <v>0.64695089269591821</v>
      </c>
      <c r="J121" s="131">
        <v>17</v>
      </c>
      <c r="K121" s="131">
        <v>9</v>
      </c>
      <c r="L121" s="128">
        <v>-47.058823529411761</v>
      </c>
      <c r="M121" s="131">
        <v>57</v>
      </c>
      <c r="N121" s="131">
        <v>24</v>
      </c>
      <c r="O121" s="128">
        <v>-57.894736842105267</v>
      </c>
      <c r="P121" s="129">
        <v>0.48820179007323028</v>
      </c>
      <c r="Q121" s="132">
        <v>77353</v>
      </c>
      <c r="R121" s="132">
        <v>6290</v>
      </c>
      <c r="S121" s="128">
        <v>-91.86844724832909</v>
      </c>
      <c r="T121" s="131">
        <v>182415</v>
      </c>
      <c r="U121" s="131">
        <v>31681</v>
      </c>
      <c r="V121" s="128">
        <v>-82.632458953485184</v>
      </c>
      <c r="W121" s="129">
        <v>0.19268009059570812</v>
      </c>
      <c r="X121" s="13">
        <v>4602.5389763000003</v>
      </c>
      <c r="Y121" s="13">
        <v>1266.0812397</v>
      </c>
      <c r="Z121" s="128">
        <v>-72.491678045107875</v>
      </c>
      <c r="AA121" s="13">
        <v>12052.176311899999</v>
      </c>
      <c r="AB121" s="13">
        <v>7789.4846756000006</v>
      </c>
      <c r="AC121" s="128">
        <v>-35.368646508192299</v>
      </c>
      <c r="AD121" s="129">
        <v>1.1978559837015714</v>
      </c>
    </row>
    <row r="122" spans="1:30" s="28" customFormat="1" ht="13">
      <c r="A122" s="5"/>
      <c r="B122" s="106"/>
      <c r="C122" s="13"/>
      <c r="D122" s="13"/>
      <c r="E122" s="128"/>
      <c r="F122" s="13"/>
      <c r="G122" s="13"/>
      <c r="H122" s="128"/>
      <c r="I122" s="129"/>
      <c r="J122" s="131"/>
      <c r="K122" s="131"/>
      <c r="L122" s="128"/>
      <c r="M122" s="131"/>
      <c r="N122" s="131"/>
      <c r="O122" s="128"/>
      <c r="P122" s="129"/>
      <c r="Q122" s="132"/>
      <c r="R122" s="132"/>
      <c r="S122" s="128"/>
      <c r="T122" s="131"/>
      <c r="U122" s="131"/>
      <c r="V122" s="128"/>
      <c r="W122" s="129"/>
      <c r="X122" s="13"/>
      <c r="Y122" s="13"/>
      <c r="Z122" s="128"/>
      <c r="AA122" s="13"/>
      <c r="AB122" s="13"/>
      <c r="AC122" s="128"/>
      <c r="AD122" s="129"/>
    </row>
    <row r="123" spans="1:30" s="29" customFormat="1" ht="15.5">
      <c r="A123" s="16">
        <v>18</v>
      </c>
      <c r="B123" s="105" t="s">
        <v>40</v>
      </c>
      <c r="C123" s="123">
        <v>70.313656108000004</v>
      </c>
      <c r="D123" s="123">
        <v>78.188965017000015</v>
      </c>
      <c r="E123" s="124">
        <v>11.200255177889961</v>
      </c>
      <c r="F123" s="123">
        <v>183.350858765</v>
      </c>
      <c r="G123" s="123">
        <v>250.34192773300003</v>
      </c>
      <c r="H123" s="124">
        <v>36.537090373741968</v>
      </c>
      <c r="I123" s="125">
        <v>0.33979440598553379</v>
      </c>
      <c r="J123" s="126">
        <v>13047</v>
      </c>
      <c r="K123" s="126">
        <v>12817</v>
      </c>
      <c r="L123" s="124">
        <v>-1.7628573618456351</v>
      </c>
      <c r="M123" s="126">
        <v>33313</v>
      </c>
      <c r="N123" s="126">
        <v>36836</v>
      </c>
      <c r="O123" s="124">
        <v>10.575451025125327</v>
      </c>
      <c r="P123" s="125">
        <v>0.7078973913915787</v>
      </c>
      <c r="Q123" s="126">
        <v>-590</v>
      </c>
      <c r="R123" s="126">
        <v>9741</v>
      </c>
      <c r="S123" s="124">
        <v>-1751.0169491525423</v>
      </c>
      <c r="T123" s="126">
        <v>40803</v>
      </c>
      <c r="U123" s="126">
        <v>41906</v>
      </c>
      <c r="V123" s="124">
        <v>2.7032326054456783</v>
      </c>
      <c r="W123" s="125">
        <v>8.8342017895192929E-2</v>
      </c>
      <c r="X123" s="123">
        <v>1171.5394417999998</v>
      </c>
      <c r="Y123" s="123">
        <v>1233.5936154999999</v>
      </c>
      <c r="Z123" s="124">
        <v>5.2968061924281082</v>
      </c>
      <c r="AA123" s="123">
        <v>5541.7268623999989</v>
      </c>
      <c r="AB123" s="123">
        <v>4171.9680148460002</v>
      </c>
      <c r="AC123" s="124">
        <v>-24.717184400545982</v>
      </c>
      <c r="AD123" s="125">
        <v>0.29816078572391524</v>
      </c>
    </row>
    <row r="124" spans="1:30" s="32" customFormat="1" ht="14.25" customHeight="1">
      <c r="A124" s="5"/>
      <c r="B124" s="106" t="s">
        <v>3</v>
      </c>
      <c r="C124" s="13">
        <v>4.1631401000000006</v>
      </c>
      <c r="D124" s="13">
        <v>1.7301711000000011</v>
      </c>
      <c r="E124" s="128">
        <v>-58.440718821833528</v>
      </c>
      <c r="F124" s="13">
        <v>11.339191553999999</v>
      </c>
      <c r="G124" s="13">
        <v>8.4484384140000017</v>
      </c>
      <c r="H124" s="128">
        <v>-25.493467732981891</v>
      </c>
      <c r="I124" s="129">
        <v>0.10268529248317677</v>
      </c>
      <c r="J124" s="131">
        <v>136</v>
      </c>
      <c r="K124" s="131">
        <v>77</v>
      </c>
      <c r="L124" s="128">
        <v>-43.382352941176471</v>
      </c>
      <c r="M124" s="131">
        <v>373</v>
      </c>
      <c r="N124" s="131">
        <v>273</v>
      </c>
      <c r="O124" s="128">
        <v>-26.809651474530831</v>
      </c>
      <c r="P124" s="129">
        <v>0.10917641789373496</v>
      </c>
      <c r="Q124" s="132">
        <v>0</v>
      </c>
      <c r="R124" s="132">
        <v>0</v>
      </c>
      <c r="S124" s="104" t="s">
        <v>57</v>
      </c>
      <c r="T124" s="131">
        <v>0</v>
      </c>
      <c r="U124" s="131">
        <v>0</v>
      </c>
      <c r="V124" s="104" t="s">
        <v>57</v>
      </c>
      <c r="W124" s="104" t="s">
        <v>57</v>
      </c>
      <c r="X124" s="13">
        <v>2.3088707000000004</v>
      </c>
      <c r="Y124" s="13">
        <v>2.1464395000000001</v>
      </c>
      <c r="Z124" s="128">
        <v>-7.0350929569161362</v>
      </c>
      <c r="AA124" s="13">
        <v>6.5341237999999997</v>
      </c>
      <c r="AB124" s="13">
        <v>6.8795439999999992</v>
      </c>
      <c r="AC124" s="128">
        <v>5.2864042765764481</v>
      </c>
      <c r="AD124" s="129">
        <v>9.054288665855674E-2</v>
      </c>
    </row>
    <row r="125" spans="1:30" s="28" customFormat="1" ht="13">
      <c r="A125" s="5"/>
      <c r="B125" s="106" t="s">
        <v>4</v>
      </c>
      <c r="C125" s="13">
        <v>65.060956314999999</v>
      </c>
      <c r="D125" s="13">
        <v>66.360218637000003</v>
      </c>
      <c r="E125" s="128">
        <v>1.9969923523863964</v>
      </c>
      <c r="F125" s="13">
        <v>163.90371918400001</v>
      </c>
      <c r="G125" s="13">
        <v>218.63684455600003</v>
      </c>
      <c r="H125" s="128">
        <v>33.393461505626995</v>
      </c>
      <c r="I125" s="129">
        <v>1.3120288072502868</v>
      </c>
      <c r="J125" s="131">
        <v>12909</v>
      </c>
      <c r="K125" s="131">
        <v>12731</v>
      </c>
      <c r="L125" s="128">
        <v>-1.3788829498799287</v>
      </c>
      <c r="M125" s="131">
        <v>32924</v>
      </c>
      <c r="N125" s="131">
        <v>36534</v>
      </c>
      <c r="O125" s="128">
        <v>10.964645851050905</v>
      </c>
      <c r="P125" s="129">
        <v>0.73854177721849079</v>
      </c>
      <c r="Q125" s="108">
        <v>0</v>
      </c>
      <c r="R125" s="108">
        <v>0</v>
      </c>
      <c r="S125" s="104" t="s">
        <v>57</v>
      </c>
      <c r="T125" s="131">
        <v>0</v>
      </c>
      <c r="U125" s="131">
        <v>0</v>
      </c>
      <c r="V125" s="104" t="s">
        <v>57</v>
      </c>
      <c r="W125" s="104" t="s">
        <v>57</v>
      </c>
      <c r="X125" s="13">
        <v>1198.9420696999998</v>
      </c>
      <c r="Y125" s="13">
        <v>886.53675789999988</v>
      </c>
      <c r="Z125" s="128">
        <v>-26.056747835879197</v>
      </c>
      <c r="AA125" s="13">
        <v>3144.2929056999997</v>
      </c>
      <c r="AB125" s="13">
        <v>2854.5882761000003</v>
      </c>
      <c r="AC125" s="128">
        <v>-9.2136654659246453</v>
      </c>
      <c r="AD125" s="129">
        <v>0.71271030161137505</v>
      </c>
    </row>
    <row r="126" spans="1:30" s="28" customFormat="1" ht="13">
      <c r="A126" s="5"/>
      <c r="B126" s="106" t="s">
        <v>5</v>
      </c>
      <c r="C126" s="13">
        <v>0</v>
      </c>
      <c r="D126" s="13">
        <v>0</v>
      </c>
      <c r="E126" s="104" t="s">
        <v>57</v>
      </c>
      <c r="F126" s="13">
        <v>0</v>
      </c>
      <c r="G126" s="13">
        <v>0</v>
      </c>
      <c r="H126" s="104" t="s">
        <v>57</v>
      </c>
      <c r="I126" s="129">
        <v>0</v>
      </c>
      <c r="J126" s="131">
        <v>0</v>
      </c>
      <c r="K126" s="131">
        <v>0</v>
      </c>
      <c r="L126" s="104" t="s">
        <v>57</v>
      </c>
      <c r="M126" s="131">
        <v>0</v>
      </c>
      <c r="N126" s="131">
        <v>0</v>
      </c>
      <c r="O126" s="104" t="s">
        <v>57</v>
      </c>
      <c r="P126" s="129">
        <v>0</v>
      </c>
      <c r="Q126" s="132">
        <v>-457</v>
      </c>
      <c r="R126" s="132">
        <v>0</v>
      </c>
      <c r="S126" s="128">
        <v>-100</v>
      </c>
      <c r="T126" s="131">
        <v>-888</v>
      </c>
      <c r="U126" s="131">
        <v>0</v>
      </c>
      <c r="V126" s="128">
        <v>-100</v>
      </c>
      <c r="W126" s="129">
        <v>0</v>
      </c>
      <c r="X126" s="13">
        <v>-52.086631300000001</v>
      </c>
      <c r="Y126" s="13">
        <v>0</v>
      </c>
      <c r="Z126" s="128">
        <v>-100</v>
      </c>
      <c r="AA126" s="13">
        <v>-126.460128</v>
      </c>
      <c r="AB126" s="13">
        <v>0</v>
      </c>
      <c r="AC126" s="128">
        <v>-100</v>
      </c>
      <c r="AD126" s="129">
        <v>0</v>
      </c>
    </row>
    <row r="127" spans="1:30" s="28" customFormat="1" ht="13">
      <c r="A127" s="5"/>
      <c r="B127" s="106" t="s">
        <v>6</v>
      </c>
      <c r="C127" s="13">
        <v>0.65993688000000006</v>
      </c>
      <c r="D127" s="13">
        <v>9.3784554660000019</v>
      </c>
      <c r="E127" s="128">
        <v>1321.114011085424</v>
      </c>
      <c r="F127" s="13">
        <v>5.5292406100000004</v>
      </c>
      <c r="G127" s="13">
        <v>21.676402677000002</v>
      </c>
      <c r="H127" s="128">
        <v>292.03218318618264</v>
      </c>
      <c r="I127" s="129">
        <v>1.9879754147460353</v>
      </c>
      <c r="J127" s="131">
        <v>1</v>
      </c>
      <c r="K127" s="131">
        <v>5</v>
      </c>
      <c r="L127" s="128">
        <v>400</v>
      </c>
      <c r="M127" s="131">
        <v>5</v>
      </c>
      <c r="N127" s="131">
        <v>13</v>
      </c>
      <c r="O127" s="128">
        <v>160</v>
      </c>
      <c r="P127" s="129">
        <v>1</v>
      </c>
      <c r="Q127" s="132">
        <v>-237</v>
      </c>
      <c r="R127" s="132">
        <v>2507</v>
      </c>
      <c r="S127" s="128">
        <v>-1157.8059071729958</v>
      </c>
      <c r="T127" s="131">
        <v>1141</v>
      </c>
      <c r="U127" s="131">
        <v>11453</v>
      </c>
      <c r="V127" s="128">
        <v>903.76862401402286</v>
      </c>
      <c r="W127" s="129">
        <v>1.3057461724296364</v>
      </c>
      <c r="X127" s="13">
        <v>-0.50136139999999996</v>
      </c>
      <c r="Y127" s="13">
        <v>1.212</v>
      </c>
      <c r="Z127" s="128">
        <v>-341.74178546653178</v>
      </c>
      <c r="AA127" s="13">
        <v>-4.2443349999999995</v>
      </c>
      <c r="AB127" s="13">
        <v>5.4803013999999992</v>
      </c>
      <c r="AC127" s="128">
        <v>-229.12037810399036</v>
      </c>
      <c r="AD127" s="129">
        <v>1.561218292756932E-2</v>
      </c>
    </row>
    <row r="128" spans="1:30" s="28" customFormat="1" ht="13">
      <c r="A128" s="5"/>
      <c r="B128" s="106" t="s">
        <v>25</v>
      </c>
      <c r="C128" s="13">
        <v>0.42962281299999988</v>
      </c>
      <c r="D128" s="13">
        <v>0.72011981400000014</v>
      </c>
      <c r="E128" s="128">
        <v>67.616754094480626</v>
      </c>
      <c r="F128" s="13">
        <v>2.5787074169999999</v>
      </c>
      <c r="G128" s="13">
        <v>1.5802420859999997</v>
      </c>
      <c r="H128" s="128">
        <v>-38.719605195132544</v>
      </c>
      <c r="I128" s="129">
        <v>7.0956813479590708E-2</v>
      </c>
      <c r="J128" s="131">
        <v>1</v>
      </c>
      <c r="K128" s="131">
        <v>4</v>
      </c>
      <c r="L128" s="128">
        <v>300</v>
      </c>
      <c r="M128" s="131">
        <v>11</v>
      </c>
      <c r="N128" s="131">
        <v>16</v>
      </c>
      <c r="O128" s="128">
        <v>45.454545454545453</v>
      </c>
      <c r="P128" s="129">
        <v>0.32546786004882017</v>
      </c>
      <c r="Q128" s="131">
        <v>104</v>
      </c>
      <c r="R128" s="131">
        <v>7234</v>
      </c>
      <c r="S128" s="128">
        <v>6855.7692307692305</v>
      </c>
      <c r="T128" s="131">
        <v>40550</v>
      </c>
      <c r="U128" s="131">
        <v>30453</v>
      </c>
      <c r="V128" s="128">
        <v>-24.900123304562268</v>
      </c>
      <c r="W128" s="129">
        <v>0.18521154000540072</v>
      </c>
      <c r="X128" s="13">
        <v>22.876494099999999</v>
      </c>
      <c r="Y128" s="13">
        <v>343.69841809999997</v>
      </c>
      <c r="Z128" s="128">
        <v>1402.4086147011485</v>
      </c>
      <c r="AA128" s="13">
        <v>2521.6042958999997</v>
      </c>
      <c r="AB128" s="13">
        <v>1305.0198933459999</v>
      </c>
      <c r="AC128" s="128">
        <v>-48.246443921915272</v>
      </c>
      <c r="AD128" s="129">
        <v>0.2006841213759345</v>
      </c>
    </row>
    <row r="129" spans="1:34" s="28" customFormat="1" ht="13">
      <c r="A129" s="5"/>
      <c r="B129" s="106"/>
      <c r="C129" s="13"/>
      <c r="D129" s="13"/>
      <c r="E129" s="128"/>
      <c r="F129" s="13"/>
      <c r="G129" s="13"/>
      <c r="H129" s="128"/>
      <c r="I129" s="129"/>
      <c r="J129" s="131"/>
      <c r="K129" s="131"/>
      <c r="L129" s="128"/>
      <c r="M129" s="131"/>
      <c r="N129" s="131"/>
      <c r="O129" s="128"/>
      <c r="P129" s="129"/>
      <c r="Q129" s="131"/>
      <c r="R129" s="131"/>
      <c r="S129" s="128"/>
      <c r="T129" s="131"/>
      <c r="U129" s="131"/>
      <c r="V129" s="128"/>
      <c r="W129" s="129"/>
      <c r="X129" s="13"/>
      <c r="Y129" s="13"/>
      <c r="Z129" s="128"/>
      <c r="AA129" s="13"/>
      <c r="AB129" s="13"/>
      <c r="AC129" s="128"/>
      <c r="AD129" s="129"/>
    </row>
    <row r="130" spans="1:34" s="29" customFormat="1" ht="15.5">
      <c r="A130" s="16">
        <v>19</v>
      </c>
      <c r="B130" s="105" t="s">
        <v>12</v>
      </c>
      <c r="C130" s="123">
        <v>5.8179999999999994E-4</v>
      </c>
      <c r="D130" s="123">
        <v>5.641E-4</v>
      </c>
      <c r="E130" s="118" t="s">
        <v>57</v>
      </c>
      <c r="F130" s="123">
        <v>1.7286999999999999E-3</v>
      </c>
      <c r="G130" s="123">
        <v>2.2927999999999998E-3</v>
      </c>
      <c r="H130" s="118" t="s">
        <v>57</v>
      </c>
      <c r="I130" s="125">
        <v>3.1120660494176324E-6</v>
      </c>
      <c r="J130" s="126">
        <v>0</v>
      </c>
      <c r="K130" s="126">
        <v>0</v>
      </c>
      <c r="L130" s="118" t="s">
        <v>57</v>
      </c>
      <c r="M130" s="126">
        <v>0</v>
      </c>
      <c r="N130" s="126">
        <v>0</v>
      </c>
      <c r="O130" s="118" t="s">
        <v>57</v>
      </c>
      <c r="P130" s="125">
        <v>0</v>
      </c>
      <c r="Q130" s="126">
        <v>0</v>
      </c>
      <c r="R130" s="126">
        <v>0</v>
      </c>
      <c r="S130" s="118" t="s">
        <v>57</v>
      </c>
      <c r="T130" s="126">
        <v>0</v>
      </c>
      <c r="U130" s="126">
        <v>0</v>
      </c>
      <c r="V130" s="118" t="s">
        <v>57</v>
      </c>
      <c r="W130" s="125">
        <v>0</v>
      </c>
      <c r="X130" s="123">
        <v>0</v>
      </c>
      <c r="Y130" s="123">
        <v>0</v>
      </c>
      <c r="Z130" s="118" t="s">
        <v>57</v>
      </c>
      <c r="AA130" s="123">
        <v>0</v>
      </c>
      <c r="AB130" s="123">
        <v>0</v>
      </c>
      <c r="AC130" s="118" t="s">
        <v>57</v>
      </c>
      <c r="AD130" s="125">
        <v>0</v>
      </c>
      <c r="AE130" s="110"/>
      <c r="AF130" s="111"/>
      <c r="AG130" s="112"/>
      <c r="AH130" s="113"/>
    </row>
    <row r="131" spans="1:34" s="28" customFormat="1" ht="13">
      <c r="A131" s="5"/>
      <c r="B131" s="106" t="s">
        <v>3</v>
      </c>
      <c r="C131" s="13">
        <v>0</v>
      </c>
      <c r="D131" s="13">
        <v>0</v>
      </c>
      <c r="E131" s="118" t="s">
        <v>57</v>
      </c>
      <c r="F131" s="13">
        <v>0</v>
      </c>
      <c r="G131" s="13">
        <v>0</v>
      </c>
      <c r="H131" s="118" t="s">
        <v>57</v>
      </c>
      <c r="I131" s="129">
        <v>0</v>
      </c>
      <c r="J131" s="131">
        <v>0</v>
      </c>
      <c r="K131" s="131">
        <v>0</v>
      </c>
      <c r="L131" s="118" t="s">
        <v>57</v>
      </c>
      <c r="M131" s="131">
        <v>0</v>
      </c>
      <c r="N131" s="131">
        <v>0</v>
      </c>
      <c r="O131" s="118" t="s">
        <v>57</v>
      </c>
      <c r="P131" s="129">
        <v>0</v>
      </c>
      <c r="Q131" s="132">
        <v>0</v>
      </c>
      <c r="R131" s="132">
        <v>0</v>
      </c>
      <c r="S131" s="118" t="s">
        <v>57</v>
      </c>
      <c r="T131" s="131">
        <v>0</v>
      </c>
      <c r="U131" s="131">
        <v>0</v>
      </c>
      <c r="V131" s="118" t="s">
        <v>57</v>
      </c>
      <c r="W131" s="104">
        <v>0</v>
      </c>
      <c r="X131" s="13">
        <v>0</v>
      </c>
      <c r="Y131" s="13">
        <v>0</v>
      </c>
      <c r="Z131" s="118" t="s">
        <v>57</v>
      </c>
      <c r="AA131" s="13">
        <v>0</v>
      </c>
      <c r="AB131" s="13">
        <v>0</v>
      </c>
      <c r="AC131" s="118" t="s">
        <v>57</v>
      </c>
      <c r="AD131" s="129">
        <v>0</v>
      </c>
      <c r="AE131" s="114"/>
      <c r="AF131" s="115"/>
      <c r="AG131" s="116"/>
      <c r="AH131" s="117"/>
    </row>
    <row r="132" spans="1:34" s="28" customFormat="1" ht="13">
      <c r="A132" s="5"/>
      <c r="B132" s="106" t="s">
        <v>4</v>
      </c>
      <c r="C132" s="13">
        <v>5.8179999999999994E-4</v>
      </c>
      <c r="D132" s="13">
        <v>5.641E-4</v>
      </c>
      <c r="E132" s="118" t="s">
        <v>57</v>
      </c>
      <c r="F132" s="13">
        <v>1.7286999999999999E-3</v>
      </c>
      <c r="G132" s="13">
        <v>2.2927999999999998E-3</v>
      </c>
      <c r="H132" s="118" t="s">
        <v>57</v>
      </c>
      <c r="I132" s="129">
        <v>1.3758978526114589E-5</v>
      </c>
      <c r="J132" s="131">
        <v>0</v>
      </c>
      <c r="K132" s="131">
        <v>0</v>
      </c>
      <c r="L132" s="118" t="s">
        <v>57</v>
      </c>
      <c r="M132" s="131">
        <v>0</v>
      </c>
      <c r="N132" s="131">
        <v>0</v>
      </c>
      <c r="O132" s="118" t="s">
        <v>57</v>
      </c>
      <c r="P132" s="129">
        <v>0</v>
      </c>
      <c r="Q132" s="132">
        <v>0</v>
      </c>
      <c r="R132" s="132">
        <v>0</v>
      </c>
      <c r="S132" s="118" t="s">
        <v>57</v>
      </c>
      <c r="T132" s="131">
        <v>0</v>
      </c>
      <c r="U132" s="131">
        <v>0</v>
      </c>
      <c r="V132" s="118" t="s">
        <v>57</v>
      </c>
      <c r="W132" s="104">
        <v>0</v>
      </c>
      <c r="X132" s="13">
        <v>0</v>
      </c>
      <c r="Y132" s="13">
        <v>0</v>
      </c>
      <c r="Z132" s="118" t="s">
        <v>57</v>
      </c>
      <c r="AA132" s="13">
        <v>0</v>
      </c>
      <c r="AB132" s="13">
        <v>0</v>
      </c>
      <c r="AC132" s="118" t="s">
        <v>57</v>
      </c>
      <c r="AD132" s="129">
        <v>0</v>
      </c>
      <c r="AE132" s="114"/>
      <c r="AF132" s="115"/>
      <c r="AG132" s="116"/>
      <c r="AH132" s="117"/>
    </row>
    <row r="133" spans="1:34" s="28" customFormat="1" ht="13">
      <c r="A133" s="5"/>
      <c r="B133" s="106" t="s">
        <v>5</v>
      </c>
      <c r="C133" s="13">
        <v>0</v>
      </c>
      <c r="D133" s="13">
        <v>0</v>
      </c>
      <c r="E133" s="118" t="s">
        <v>57</v>
      </c>
      <c r="F133" s="13">
        <v>0</v>
      </c>
      <c r="G133" s="13">
        <v>0</v>
      </c>
      <c r="H133" s="118" t="s">
        <v>57</v>
      </c>
      <c r="I133" s="129">
        <v>0</v>
      </c>
      <c r="J133" s="131">
        <v>0</v>
      </c>
      <c r="K133" s="131">
        <v>0</v>
      </c>
      <c r="L133" s="118" t="s">
        <v>57</v>
      </c>
      <c r="M133" s="131">
        <v>0</v>
      </c>
      <c r="N133" s="131">
        <v>0</v>
      </c>
      <c r="O133" s="118" t="s">
        <v>57</v>
      </c>
      <c r="P133" s="129">
        <v>0</v>
      </c>
      <c r="Q133" s="132">
        <v>0</v>
      </c>
      <c r="R133" s="132">
        <v>0</v>
      </c>
      <c r="S133" s="118" t="s">
        <v>57</v>
      </c>
      <c r="T133" s="131">
        <v>0</v>
      </c>
      <c r="U133" s="131">
        <v>0</v>
      </c>
      <c r="V133" s="118" t="s">
        <v>57</v>
      </c>
      <c r="W133" s="129">
        <v>0</v>
      </c>
      <c r="X133" s="13">
        <v>0</v>
      </c>
      <c r="Y133" s="13">
        <v>0</v>
      </c>
      <c r="Z133" s="118" t="s">
        <v>57</v>
      </c>
      <c r="AA133" s="13">
        <v>0</v>
      </c>
      <c r="AB133" s="13">
        <v>0</v>
      </c>
      <c r="AC133" s="118" t="s">
        <v>57</v>
      </c>
      <c r="AD133" s="129">
        <v>0</v>
      </c>
      <c r="AE133" s="114"/>
      <c r="AF133" s="115"/>
      <c r="AG133" s="116"/>
      <c r="AH133" s="117"/>
    </row>
    <row r="134" spans="1:34" s="28" customFormat="1" ht="13">
      <c r="A134" s="5"/>
      <c r="B134" s="106" t="s">
        <v>6</v>
      </c>
      <c r="C134" s="13">
        <v>0</v>
      </c>
      <c r="D134" s="13">
        <v>0</v>
      </c>
      <c r="E134" s="118" t="s">
        <v>57</v>
      </c>
      <c r="F134" s="13">
        <v>0</v>
      </c>
      <c r="G134" s="13">
        <v>0</v>
      </c>
      <c r="H134" s="118" t="s">
        <v>57</v>
      </c>
      <c r="I134" s="129">
        <v>0</v>
      </c>
      <c r="J134" s="131">
        <v>0</v>
      </c>
      <c r="K134" s="131">
        <v>0</v>
      </c>
      <c r="L134" s="118" t="s">
        <v>57</v>
      </c>
      <c r="M134" s="131">
        <v>0</v>
      </c>
      <c r="N134" s="131">
        <v>0</v>
      </c>
      <c r="O134" s="118" t="s">
        <v>57</v>
      </c>
      <c r="P134" s="129">
        <v>0</v>
      </c>
      <c r="Q134" s="108">
        <v>0</v>
      </c>
      <c r="R134" s="108">
        <v>0</v>
      </c>
      <c r="S134" s="118" t="s">
        <v>57</v>
      </c>
      <c r="T134" s="131">
        <v>0</v>
      </c>
      <c r="U134" s="131">
        <v>0</v>
      </c>
      <c r="V134" s="118" t="s">
        <v>57</v>
      </c>
      <c r="W134" s="129">
        <v>0</v>
      </c>
      <c r="X134" s="13">
        <v>0</v>
      </c>
      <c r="Y134" s="13">
        <v>0</v>
      </c>
      <c r="Z134" s="118" t="s">
        <v>57</v>
      </c>
      <c r="AA134" s="13">
        <v>0</v>
      </c>
      <c r="AB134" s="13">
        <v>0</v>
      </c>
      <c r="AC134" s="118" t="s">
        <v>57</v>
      </c>
      <c r="AD134" s="129">
        <v>0</v>
      </c>
      <c r="AE134" s="114"/>
      <c r="AF134" s="115"/>
      <c r="AG134" s="116"/>
      <c r="AH134" s="117"/>
    </row>
    <row r="135" spans="1:34" s="28" customFormat="1" ht="13">
      <c r="A135" s="5"/>
      <c r="B135" s="106" t="s">
        <v>25</v>
      </c>
      <c r="C135" s="13">
        <v>0</v>
      </c>
      <c r="D135" s="13">
        <v>0</v>
      </c>
      <c r="E135" s="118" t="s">
        <v>57</v>
      </c>
      <c r="F135" s="13">
        <v>0</v>
      </c>
      <c r="G135" s="13">
        <v>0</v>
      </c>
      <c r="H135" s="118" t="s">
        <v>57</v>
      </c>
      <c r="I135" s="129">
        <v>0</v>
      </c>
      <c r="J135" s="131">
        <v>0</v>
      </c>
      <c r="K135" s="131">
        <v>0</v>
      </c>
      <c r="L135" s="118" t="s">
        <v>57</v>
      </c>
      <c r="M135" s="131">
        <v>0</v>
      </c>
      <c r="N135" s="131">
        <v>0</v>
      </c>
      <c r="O135" s="118" t="s">
        <v>57</v>
      </c>
      <c r="P135" s="129">
        <v>0</v>
      </c>
      <c r="Q135" s="132">
        <v>0</v>
      </c>
      <c r="R135" s="132">
        <v>0</v>
      </c>
      <c r="S135" s="118" t="s">
        <v>57</v>
      </c>
      <c r="T135" s="131">
        <v>0</v>
      </c>
      <c r="U135" s="131">
        <v>0</v>
      </c>
      <c r="V135" s="118" t="s">
        <v>57</v>
      </c>
      <c r="W135" s="129">
        <v>0</v>
      </c>
      <c r="X135" s="13">
        <v>0</v>
      </c>
      <c r="Y135" s="13">
        <v>0</v>
      </c>
      <c r="Z135" s="118" t="s">
        <v>57</v>
      </c>
      <c r="AA135" s="13">
        <v>0</v>
      </c>
      <c r="AB135" s="13">
        <v>0</v>
      </c>
      <c r="AC135" s="118" t="s">
        <v>57</v>
      </c>
      <c r="AD135" s="129">
        <v>0</v>
      </c>
      <c r="AE135" s="114"/>
      <c r="AF135" s="115"/>
      <c r="AG135" s="116"/>
      <c r="AH135" s="117"/>
    </row>
    <row r="136" spans="1:34" s="28" customFormat="1" ht="13">
      <c r="A136" s="5"/>
      <c r="B136" s="106"/>
      <c r="C136" s="13"/>
      <c r="D136" s="13"/>
      <c r="E136" s="128"/>
      <c r="F136" s="13"/>
      <c r="G136" s="13"/>
      <c r="H136" s="128"/>
      <c r="I136" s="129"/>
      <c r="J136" s="131"/>
      <c r="K136" s="131"/>
      <c r="L136" s="128"/>
      <c r="M136" s="131"/>
      <c r="N136" s="131"/>
      <c r="O136" s="128"/>
      <c r="P136" s="129"/>
      <c r="Q136" s="132"/>
      <c r="R136" s="132"/>
      <c r="S136" s="128"/>
      <c r="T136" s="131"/>
      <c r="U136" s="131"/>
      <c r="V136" s="128"/>
      <c r="W136" s="129"/>
      <c r="X136" s="13"/>
      <c r="Y136" s="13"/>
      <c r="Z136" s="128"/>
      <c r="AA136" s="13"/>
      <c r="AB136" s="13"/>
      <c r="AC136" s="128"/>
      <c r="AD136" s="129"/>
    </row>
    <row r="137" spans="1:34" s="29" customFormat="1" ht="15.5">
      <c r="A137" s="19">
        <v>20</v>
      </c>
      <c r="B137" s="105" t="s">
        <v>7</v>
      </c>
      <c r="C137" s="123">
        <v>1767.0522203770001</v>
      </c>
      <c r="D137" s="123">
        <v>2826.1410088690041</v>
      </c>
      <c r="E137" s="124">
        <v>59.93534182402643</v>
      </c>
      <c r="F137" s="123">
        <v>3343.8902605490002</v>
      </c>
      <c r="G137" s="123">
        <v>5590.7083800370037</v>
      </c>
      <c r="H137" s="124">
        <v>67.191742085433177</v>
      </c>
      <c r="I137" s="125">
        <v>7.5883870122591635</v>
      </c>
      <c r="J137" s="126">
        <v>126197</v>
      </c>
      <c r="K137" s="126">
        <v>164263</v>
      </c>
      <c r="L137" s="124">
        <v>30.163950014659619</v>
      </c>
      <c r="M137" s="126">
        <v>256727</v>
      </c>
      <c r="N137" s="126">
        <v>414067</v>
      </c>
      <c r="O137" s="124">
        <v>61.28689230193941</v>
      </c>
      <c r="P137" s="125">
        <v>7.9573501238282347</v>
      </c>
      <c r="Q137" s="126">
        <v>135597</v>
      </c>
      <c r="R137" s="126">
        <v>639008</v>
      </c>
      <c r="S137" s="124">
        <v>371.25526375952268</v>
      </c>
      <c r="T137" s="126">
        <v>1034408</v>
      </c>
      <c r="U137" s="126">
        <v>1926661</v>
      </c>
      <c r="V137" s="124">
        <v>86.257356864989447</v>
      </c>
      <c r="W137" s="125">
        <v>4.0615931021803631</v>
      </c>
      <c r="X137" s="123">
        <v>29363.728387999996</v>
      </c>
      <c r="Y137" s="123">
        <v>32763.721040000004</v>
      </c>
      <c r="Z137" s="124">
        <v>11.578886056545446</v>
      </c>
      <c r="AA137" s="123">
        <v>84008.72460300001</v>
      </c>
      <c r="AB137" s="123">
        <v>95664.791768999989</v>
      </c>
      <c r="AC137" s="124">
        <v>13.874829335980341</v>
      </c>
      <c r="AD137" s="125">
        <v>6.8369386770125233</v>
      </c>
    </row>
    <row r="138" spans="1:34" s="28" customFormat="1" ht="13">
      <c r="A138" s="9"/>
      <c r="B138" s="107" t="s">
        <v>3</v>
      </c>
      <c r="C138" s="13">
        <v>253.32192328799988</v>
      </c>
      <c r="D138" s="13">
        <v>376.35082218299999</v>
      </c>
      <c r="E138" s="128">
        <v>48.566226443468707</v>
      </c>
      <c r="F138" s="13">
        <v>499.77032132899984</v>
      </c>
      <c r="G138" s="13">
        <v>944.60641911300013</v>
      </c>
      <c r="H138" s="128">
        <v>89.008106083827215</v>
      </c>
      <c r="I138" s="129">
        <v>11.481078712412646</v>
      </c>
      <c r="J138" s="131">
        <v>8022</v>
      </c>
      <c r="K138" s="131">
        <v>5658</v>
      </c>
      <c r="L138" s="128">
        <v>-29.468960359012712</v>
      </c>
      <c r="M138" s="131">
        <v>21180</v>
      </c>
      <c r="N138" s="131">
        <v>15296</v>
      </c>
      <c r="O138" s="128">
        <v>-27.780925401322005</v>
      </c>
      <c r="P138" s="129">
        <v>6.1170787109984239</v>
      </c>
      <c r="Q138" s="131">
        <v>0</v>
      </c>
      <c r="R138" s="131">
        <v>0</v>
      </c>
      <c r="S138" s="104" t="s">
        <v>57</v>
      </c>
      <c r="T138" s="131">
        <v>0</v>
      </c>
      <c r="U138" s="131">
        <v>0</v>
      </c>
      <c r="V138" s="104" t="s">
        <v>57</v>
      </c>
      <c r="W138" s="104" t="s">
        <v>57</v>
      </c>
      <c r="X138" s="13">
        <v>277.86563800000005</v>
      </c>
      <c r="Y138" s="13">
        <v>259.96416299999999</v>
      </c>
      <c r="Z138" s="128">
        <v>-6.442493259997863</v>
      </c>
      <c r="AA138" s="13">
        <v>634.27597500000002</v>
      </c>
      <c r="AB138" s="13">
        <v>670.98326299999985</v>
      </c>
      <c r="AC138" s="128">
        <v>5.7872739070717341</v>
      </c>
      <c r="AD138" s="129">
        <v>8.8309285516013212</v>
      </c>
    </row>
    <row r="139" spans="1:34" s="28" customFormat="1" ht="13">
      <c r="A139" s="9"/>
      <c r="B139" s="107" t="s">
        <v>4</v>
      </c>
      <c r="C139" s="13">
        <v>692.64844635800011</v>
      </c>
      <c r="D139" s="13">
        <v>981.10914719200343</v>
      </c>
      <c r="E139" s="128">
        <v>41.646047479172488</v>
      </c>
      <c r="F139" s="13">
        <v>1335.3652253440005</v>
      </c>
      <c r="G139" s="13">
        <v>2485.1351570450038</v>
      </c>
      <c r="H139" s="128">
        <v>86.101533114643871</v>
      </c>
      <c r="I139" s="129">
        <v>14.913172217495907</v>
      </c>
      <c r="J139" s="131">
        <v>118161</v>
      </c>
      <c r="K139" s="131">
        <v>158564</v>
      </c>
      <c r="L139" s="128">
        <v>34.193177105813255</v>
      </c>
      <c r="M139" s="131">
        <v>235502</v>
      </c>
      <c r="N139" s="131">
        <v>398676</v>
      </c>
      <c r="O139" s="128">
        <v>69.287734286757654</v>
      </c>
      <c r="P139" s="129">
        <v>8.0593113695286327</v>
      </c>
      <c r="Q139" s="132">
        <v>0</v>
      </c>
      <c r="R139" s="132">
        <v>0</v>
      </c>
      <c r="S139" s="104" t="s">
        <v>57</v>
      </c>
      <c r="T139" s="131">
        <v>0</v>
      </c>
      <c r="U139" s="131">
        <v>0</v>
      </c>
      <c r="V139" s="104" t="s">
        <v>57</v>
      </c>
      <c r="W139" s="104" t="s">
        <v>57</v>
      </c>
      <c r="X139" s="13">
        <v>9980.3088579999985</v>
      </c>
      <c r="Y139" s="13">
        <v>12291.477628000001</v>
      </c>
      <c r="Z139" s="128">
        <v>23.157287042749378</v>
      </c>
      <c r="AA139" s="13">
        <v>20703.616367000002</v>
      </c>
      <c r="AB139" s="13">
        <v>31717.380230999996</v>
      </c>
      <c r="AC139" s="128">
        <v>53.197294949664439</v>
      </c>
      <c r="AD139" s="129">
        <v>7.9189366186434862</v>
      </c>
    </row>
    <row r="140" spans="1:34" s="28" customFormat="1" ht="13">
      <c r="A140" s="9"/>
      <c r="B140" s="107" t="s">
        <v>5</v>
      </c>
      <c r="C140" s="13">
        <v>788.02085619500019</v>
      </c>
      <c r="D140" s="13">
        <v>1440.3925412610004</v>
      </c>
      <c r="E140" s="128">
        <v>82.786093786401906</v>
      </c>
      <c r="F140" s="13">
        <v>1440.4551425440002</v>
      </c>
      <c r="G140" s="13">
        <v>2076.4117933520001</v>
      </c>
      <c r="H140" s="128">
        <v>44.14970185637516</v>
      </c>
      <c r="I140" s="129">
        <v>4.5669980846878842</v>
      </c>
      <c r="J140" s="131">
        <v>8</v>
      </c>
      <c r="K140" s="131">
        <v>14</v>
      </c>
      <c r="L140" s="128">
        <v>75</v>
      </c>
      <c r="M140" s="131">
        <v>15</v>
      </c>
      <c r="N140" s="131">
        <v>24</v>
      </c>
      <c r="O140" s="128">
        <v>60</v>
      </c>
      <c r="P140" s="129">
        <v>4.4943820224719104</v>
      </c>
      <c r="Q140" s="132">
        <v>20439</v>
      </c>
      <c r="R140" s="132">
        <v>80783</v>
      </c>
      <c r="S140" s="128">
        <v>295.23949312588678</v>
      </c>
      <c r="T140" s="131">
        <v>52820</v>
      </c>
      <c r="U140" s="131">
        <v>141986</v>
      </c>
      <c r="V140" s="128">
        <v>168.81105641802347</v>
      </c>
      <c r="W140" s="129">
        <v>0.47145290345339436</v>
      </c>
      <c r="X140" s="13">
        <v>3518.4715919999999</v>
      </c>
      <c r="Y140" s="13">
        <v>5711.221649000001</v>
      </c>
      <c r="Z140" s="128">
        <v>62.321095955007536</v>
      </c>
      <c r="AA140" s="13">
        <v>9199.2373609999995</v>
      </c>
      <c r="AB140" s="13">
        <v>15112.035675000001</v>
      </c>
      <c r="AC140" s="128">
        <v>64.274874991998828</v>
      </c>
      <c r="AD140" s="129">
        <v>4.9430619682166732</v>
      </c>
    </row>
    <row r="141" spans="1:34" s="28" customFormat="1" ht="13">
      <c r="A141" s="9"/>
      <c r="B141" s="107" t="s">
        <v>6</v>
      </c>
      <c r="C141" s="13">
        <v>2.692894535999999</v>
      </c>
      <c r="D141" s="13">
        <v>0.90619823300000124</v>
      </c>
      <c r="E141" s="128">
        <v>-66.348543513848114</v>
      </c>
      <c r="F141" s="13">
        <v>12.400171331999999</v>
      </c>
      <c r="G141" s="13">
        <v>7.5160105270000024</v>
      </c>
      <c r="H141" s="128">
        <v>-39.387849362983282</v>
      </c>
      <c r="I141" s="129">
        <v>0.68930460313428299</v>
      </c>
      <c r="J141" s="131">
        <v>0</v>
      </c>
      <c r="K141" s="131">
        <v>0</v>
      </c>
      <c r="L141" s="104" t="s">
        <v>57</v>
      </c>
      <c r="M141" s="131">
        <v>0</v>
      </c>
      <c r="N141" s="131">
        <v>0</v>
      </c>
      <c r="O141" s="104" t="s">
        <v>57</v>
      </c>
      <c r="P141" s="129">
        <v>0</v>
      </c>
      <c r="Q141" s="132">
        <v>4039</v>
      </c>
      <c r="R141" s="132">
        <v>1310</v>
      </c>
      <c r="S141" s="128">
        <v>-67.566229264669474</v>
      </c>
      <c r="T141" s="131">
        <v>20959</v>
      </c>
      <c r="U141" s="131">
        <v>13191</v>
      </c>
      <c r="V141" s="128">
        <v>-37.062836967412565</v>
      </c>
      <c r="W141" s="129">
        <v>1.5038939806617773</v>
      </c>
      <c r="X141" s="13">
        <v>-0.12399999999999999</v>
      </c>
      <c r="Y141" s="13">
        <v>1.2148000000000001</v>
      </c>
      <c r="Z141" s="128">
        <v>-1079.677419354839</v>
      </c>
      <c r="AA141" s="13">
        <v>1.4990999999999999</v>
      </c>
      <c r="AB141" s="13">
        <v>2.4028999999999998</v>
      </c>
      <c r="AC141" s="128">
        <v>60.289507037555865</v>
      </c>
      <c r="AD141" s="129">
        <v>6.8453378050806332E-3</v>
      </c>
    </row>
    <row r="142" spans="1:34" s="28" customFormat="1" ht="13">
      <c r="A142" s="9"/>
      <c r="B142" s="106" t="s">
        <v>25</v>
      </c>
      <c r="C142" s="13">
        <v>30.368099999999998</v>
      </c>
      <c r="D142" s="13">
        <v>27.382300000000001</v>
      </c>
      <c r="E142" s="128">
        <v>-9.8320276869478107</v>
      </c>
      <c r="F142" s="13">
        <v>55.899400000000007</v>
      </c>
      <c r="G142" s="13">
        <v>77.039000000000001</v>
      </c>
      <c r="H142" s="128">
        <v>37.817221651752959</v>
      </c>
      <c r="I142" s="129">
        <v>3.459243366623125</v>
      </c>
      <c r="J142" s="131">
        <v>6</v>
      </c>
      <c r="K142" s="131">
        <v>27</v>
      </c>
      <c r="L142" s="128">
        <v>350</v>
      </c>
      <c r="M142" s="131">
        <v>30</v>
      </c>
      <c r="N142" s="131">
        <v>71</v>
      </c>
      <c r="O142" s="128">
        <v>136.66666666666666</v>
      </c>
      <c r="P142" s="129">
        <v>1.4442636289666395</v>
      </c>
      <c r="Q142" s="132">
        <v>111119</v>
      </c>
      <c r="R142" s="132">
        <v>556915</v>
      </c>
      <c r="S142" s="128">
        <v>401.1879156579883</v>
      </c>
      <c r="T142" s="131">
        <v>960629</v>
      </c>
      <c r="U142" s="131">
        <v>1771484</v>
      </c>
      <c r="V142" s="128">
        <v>84.408757178890085</v>
      </c>
      <c r="W142" s="129">
        <v>10.773955923387755</v>
      </c>
      <c r="X142" s="13">
        <v>15587.206299999998</v>
      </c>
      <c r="Y142" s="13">
        <v>14499.8428</v>
      </c>
      <c r="Z142" s="128">
        <v>-6.9759999262985168</v>
      </c>
      <c r="AA142" s="13">
        <v>53470.095800000003</v>
      </c>
      <c r="AB142" s="13">
        <v>48161.989699999998</v>
      </c>
      <c r="AC142" s="128">
        <v>-9.9272425466647558</v>
      </c>
      <c r="AD142" s="129">
        <v>7.4062829508904153</v>
      </c>
    </row>
    <row r="143" spans="1:34" s="28" customFormat="1" ht="13">
      <c r="A143" s="9"/>
      <c r="B143" s="106"/>
      <c r="C143" s="13"/>
      <c r="D143" s="13"/>
      <c r="E143" s="128"/>
      <c r="F143" s="13"/>
      <c r="G143" s="13"/>
      <c r="H143" s="128"/>
      <c r="I143" s="129"/>
      <c r="J143" s="131"/>
      <c r="K143" s="131"/>
      <c r="L143" s="128"/>
      <c r="M143" s="131"/>
      <c r="N143" s="131"/>
      <c r="O143" s="128"/>
      <c r="P143" s="129"/>
      <c r="Q143" s="132"/>
      <c r="R143" s="132"/>
      <c r="S143" s="128"/>
      <c r="T143" s="131"/>
      <c r="U143" s="131"/>
      <c r="V143" s="128"/>
      <c r="W143" s="129"/>
      <c r="X143" s="13"/>
      <c r="Y143" s="13"/>
      <c r="Z143" s="128"/>
      <c r="AA143" s="13"/>
      <c r="AB143" s="13"/>
      <c r="AC143" s="128"/>
      <c r="AD143" s="129"/>
    </row>
    <row r="144" spans="1:34" s="29" customFormat="1" ht="15.5">
      <c r="A144" s="19">
        <v>21</v>
      </c>
      <c r="B144" s="105" t="s">
        <v>13</v>
      </c>
      <c r="C144" s="123">
        <v>66.09510169863907</v>
      </c>
      <c r="D144" s="123">
        <v>84.021549160000177</v>
      </c>
      <c r="E144" s="124">
        <v>27.122202705878006</v>
      </c>
      <c r="F144" s="123">
        <v>145.15770766499998</v>
      </c>
      <c r="G144" s="123">
        <v>209.27413141300002</v>
      </c>
      <c r="H144" s="124">
        <v>44.170182058792335</v>
      </c>
      <c r="I144" s="125">
        <v>0.28405221536626024</v>
      </c>
      <c r="J144" s="126">
        <v>20522</v>
      </c>
      <c r="K144" s="126">
        <v>21865</v>
      </c>
      <c r="L144" s="124">
        <v>6.5441964720787453</v>
      </c>
      <c r="M144" s="126">
        <v>42556</v>
      </c>
      <c r="N144" s="126">
        <v>58078</v>
      </c>
      <c r="O144" s="124">
        <v>36.474292696682021</v>
      </c>
      <c r="P144" s="125">
        <v>1.1161164267900996</v>
      </c>
      <c r="Q144" s="126">
        <v>169388</v>
      </c>
      <c r="R144" s="126">
        <v>443267</v>
      </c>
      <c r="S144" s="124">
        <v>161.68736864476821</v>
      </c>
      <c r="T144" s="126">
        <v>500188</v>
      </c>
      <c r="U144" s="126">
        <v>1069277</v>
      </c>
      <c r="V144" s="124">
        <v>113.77502059225731</v>
      </c>
      <c r="W144" s="125">
        <v>2.2541423153944113</v>
      </c>
      <c r="X144" s="123">
        <v>6353.4338720999986</v>
      </c>
      <c r="Y144" s="123">
        <v>4678.8976630999996</v>
      </c>
      <c r="Z144" s="124">
        <v>-26.356396284431856</v>
      </c>
      <c r="AA144" s="123">
        <v>16333.868299199998</v>
      </c>
      <c r="AB144" s="123">
        <v>12551.5845973</v>
      </c>
      <c r="AC144" s="124">
        <v>-23.156080559834361</v>
      </c>
      <c r="AD144" s="125">
        <v>0.8970323627347615</v>
      </c>
    </row>
    <row r="145" spans="1:30" s="28" customFormat="1" ht="13">
      <c r="A145" s="9"/>
      <c r="B145" s="107" t="s">
        <v>3</v>
      </c>
      <c r="C145" s="13">
        <v>6.3294268000000002</v>
      </c>
      <c r="D145" s="13">
        <v>3.7160413749999996</v>
      </c>
      <c r="E145" s="128">
        <v>-41.289448595882341</v>
      </c>
      <c r="F145" s="13">
        <v>12.937399999999998</v>
      </c>
      <c r="G145" s="13">
        <v>10.601499999999998</v>
      </c>
      <c r="H145" s="128">
        <v>-18.055405259171092</v>
      </c>
      <c r="I145" s="129">
        <v>0.12885436040540191</v>
      </c>
      <c r="J145" s="131">
        <v>901</v>
      </c>
      <c r="K145" s="131">
        <v>858</v>
      </c>
      <c r="L145" s="128">
        <v>-4.7724750277469479</v>
      </c>
      <c r="M145" s="131">
        <v>1184</v>
      </c>
      <c r="N145" s="131">
        <v>2206</v>
      </c>
      <c r="O145" s="128">
        <v>86.317567567567565</v>
      </c>
      <c r="P145" s="129">
        <v>0.88220944276036373</v>
      </c>
      <c r="Q145" s="132">
        <v>0</v>
      </c>
      <c r="R145" s="132">
        <v>0</v>
      </c>
      <c r="S145" s="104" t="s">
        <v>57</v>
      </c>
      <c r="T145" s="131">
        <v>0</v>
      </c>
      <c r="U145" s="131">
        <v>0</v>
      </c>
      <c r="V145" s="104" t="s">
        <v>57</v>
      </c>
      <c r="W145" s="104" t="s">
        <v>57</v>
      </c>
      <c r="X145" s="13">
        <v>26.643525</v>
      </c>
      <c r="Y145" s="13">
        <v>24.667099999999994</v>
      </c>
      <c r="Z145" s="128">
        <v>-7.4180312102096329</v>
      </c>
      <c r="AA145" s="13">
        <v>36.036799999999999</v>
      </c>
      <c r="AB145" s="13">
        <v>60.521999999999998</v>
      </c>
      <c r="AC145" s="128">
        <v>67.944989566221196</v>
      </c>
      <c r="AD145" s="129">
        <v>0.79654066989747752</v>
      </c>
    </row>
    <row r="146" spans="1:30" s="28" customFormat="1" ht="13">
      <c r="A146" s="9"/>
      <c r="B146" s="107" t="s">
        <v>4</v>
      </c>
      <c r="C146" s="13">
        <v>41.759006337639079</v>
      </c>
      <c r="D146" s="13">
        <v>48.549434947000179</v>
      </c>
      <c r="E146" s="128">
        <v>16.260991831217527</v>
      </c>
      <c r="F146" s="13">
        <v>77.994900000000001</v>
      </c>
      <c r="G146" s="13">
        <v>105.74630000000001</v>
      </c>
      <c r="H146" s="128">
        <v>35.581044401621135</v>
      </c>
      <c r="I146" s="129">
        <v>0.63457827587058235</v>
      </c>
      <c r="J146" s="131">
        <v>19597</v>
      </c>
      <c r="K146" s="131">
        <v>21007</v>
      </c>
      <c r="L146" s="128">
        <v>7.1949788232892793</v>
      </c>
      <c r="M146" s="131">
        <v>41315</v>
      </c>
      <c r="N146" s="131">
        <v>55865</v>
      </c>
      <c r="O146" s="128">
        <v>35.217233450320705</v>
      </c>
      <c r="P146" s="129">
        <v>1.1293216287379151</v>
      </c>
      <c r="Q146" s="132">
        <v>0</v>
      </c>
      <c r="R146" s="132">
        <v>0</v>
      </c>
      <c r="S146" s="104" t="s">
        <v>57</v>
      </c>
      <c r="T146" s="131">
        <v>0</v>
      </c>
      <c r="U146" s="131">
        <v>0</v>
      </c>
      <c r="V146" s="104" t="s">
        <v>57</v>
      </c>
      <c r="W146" s="104" t="s">
        <v>57</v>
      </c>
      <c r="X146" s="13">
        <v>912.11331699999869</v>
      </c>
      <c r="Y146" s="13">
        <v>1065.0207426999998</v>
      </c>
      <c r="Z146" s="128">
        <v>16.76408214309641</v>
      </c>
      <c r="AA146" s="13">
        <v>1772.0532999999998</v>
      </c>
      <c r="AB146" s="13">
        <v>2882.9690999999998</v>
      </c>
      <c r="AC146" s="128">
        <v>62.690879557629565</v>
      </c>
      <c r="AD146" s="129">
        <v>0.71979619407828566</v>
      </c>
    </row>
    <row r="147" spans="1:30" s="28" customFormat="1" ht="14.25" customHeight="1">
      <c r="A147" s="9"/>
      <c r="B147" s="107" t="s">
        <v>5</v>
      </c>
      <c r="C147" s="13">
        <v>4.3897089329999996</v>
      </c>
      <c r="D147" s="13">
        <v>23.338155423999996</v>
      </c>
      <c r="E147" s="128">
        <v>431.6561024935728</v>
      </c>
      <c r="F147" s="13">
        <v>23.779315299999993</v>
      </c>
      <c r="G147" s="13">
        <v>69.094693441000004</v>
      </c>
      <c r="H147" s="128">
        <v>190.56637068519808</v>
      </c>
      <c r="I147" s="129">
        <v>0.15197146039020284</v>
      </c>
      <c r="J147" s="131">
        <v>1</v>
      </c>
      <c r="K147" s="131">
        <v>0</v>
      </c>
      <c r="L147" s="104">
        <v>-100</v>
      </c>
      <c r="M147" s="131">
        <v>1</v>
      </c>
      <c r="N147" s="131">
        <v>0</v>
      </c>
      <c r="O147" s="104">
        <v>-100</v>
      </c>
      <c r="P147" s="129">
        <v>0</v>
      </c>
      <c r="Q147" s="131">
        <v>61642</v>
      </c>
      <c r="R147" s="131">
        <v>251308</v>
      </c>
      <c r="S147" s="128">
        <v>307.68956231141107</v>
      </c>
      <c r="T147" s="131">
        <v>276579</v>
      </c>
      <c r="U147" s="131">
        <v>661085</v>
      </c>
      <c r="V147" s="128">
        <v>139.02212387780705</v>
      </c>
      <c r="W147" s="129">
        <v>2.1950786885994904</v>
      </c>
      <c r="X147" s="13">
        <v>586.18281290000004</v>
      </c>
      <c r="Y147" s="13">
        <v>2529.5470803000003</v>
      </c>
      <c r="Z147" s="128">
        <v>331.52870139362631</v>
      </c>
      <c r="AA147" s="13">
        <v>2577.2525607000002</v>
      </c>
      <c r="AB147" s="13">
        <v>6477.5531676999999</v>
      </c>
      <c r="AC147" s="128">
        <v>151.33559925305303</v>
      </c>
      <c r="AD147" s="129">
        <v>2.118771249549694</v>
      </c>
    </row>
    <row r="148" spans="1:30" s="26" customFormat="1" ht="13">
      <c r="A148" s="9"/>
      <c r="B148" s="107" t="s">
        <v>6</v>
      </c>
      <c r="C148" s="13">
        <v>0</v>
      </c>
      <c r="D148" s="13">
        <v>0</v>
      </c>
      <c r="E148" s="104" t="s">
        <v>57</v>
      </c>
      <c r="F148" s="13">
        <v>0</v>
      </c>
      <c r="G148" s="13">
        <v>0</v>
      </c>
      <c r="H148" s="104" t="s">
        <v>57</v>
      </c>
      <c r="I148" s="129">
        <v>0</v>
      </c>
      <c r="J148" s="131">
        <v>0</v>
      </c>
      <c r="K148" s="131">
        <v>0</v>
      </c>
      <c r="L148" s="104" t="s">
        <v>57</v>
      </c>
      <c r="M148" s="131">
        <v>0</v>
      </c>
      <c r="N148" s="131">
        <v>0</v>
      </c>
      <c r="O148" s="104" t="s">
        <v>57</v>
      </c>
      <c r="P148" s="129">
        <v>0</v>
      </c>
      <c r="Q148" s="132">
        <v>0</v>
      </c>
      <c r="R148" s="132">
        <v>0</v>
      </c>
      <c r="S148" s="104" t="s">
        <v>57</v>
      </c>
      <c r="T148" s="131">
        <v>0</v>
      </c>
      <c r="U148" s="131">
        <v>0</v>
      </c>
      <c r="V148" s="104" t="s">
        <v>57</v>
      </c>
      <c r="W148" s="129">
        <v>0</v>
      </c>
      <c r="X148" s="13">
        <v>0</v>
      </c>
      <c r="Y148" s="13">
        <v>0</v>
      </c>
      <c r="Z148" s="104" t="s">
        <v>57</v>
      </c>
      <c r="AA148" s="13">
        <v>0</v>
      </c>
      <c r="AB148" s="13">
        <v>0</v>
      </c>
      <c r="AC148" s="104" t="s">
        <v>57</v>
      </c>
      <c r="AD148" s="129">
        <v>0</v>
      </c>
    </row>
    <row r="149" spans="1:30" s="26" customFormat="1" ht="13">
      <c r="A149" s="9"/>
      <c r="B149" s="106" t="s">
        <v>25</v>
      </c>
      <c r="C149" s="13">
        <v>13.616959627999996</v>
      </c>
      <c r="D149" s="13">
        <v>8.4179174139999944</v>
      </c>
      <c r="E149" s="128">
        <v>-38.180639114985873</v>
      </c>
      <c r="F149" s="13">
        <v>30.446092364999998</v>
      </c>
      <c r="G149" s="13">
        <v>23.831637971999999</v>
      </c>
      <c r="H149" s="128">
        <v>-21.725134095053182</v>
      </c>
      <c r="I149" s="129">
        <v>1.0701000216825864</v>
      </c>
      <c r="J149" s="131">
        <v>23</v>
      </c>
      <c r="K149" s="131">
        <v>0</v>
      </c>
      <c r="L149" s="128">
        <v>-100</v>
      </c>
      <c r="M149" s="131">
        <v>56</v>
      </c>
      <c r="N149" s="131">
        <v>7</v>
      </c>
      <c r="O149" s="128">
        <v>-87.5</v>
      </c>
      <c r="P149" s="129">
        <v>0.14239218877135884</v>
      </c>
      <c r="Q149" s="132">
        <v>107746</v>
      </c>
      <c r="R149" s="132">
        <v>191959</v>
      </c>
      <c r="S149" s="128">
        <v>78.158817960759563</v>
      </c>
      <c r="T149" s="131">
        <v>223609</v>
      </c>
      <c r="U149" s="131">
        <v>408192</v>
      </c>
      <c r="V149" s="128">
        <v>82.547214110344385</v>
      </c>
      <c r="W149" s="129">
        <v>2.482575409249812</v>
      </c>
      <c r="X149" s="13">
        <v>4828.4942172000001</v>
      </c>
      <c r="Y149" s="13">
        <v>1059.6627400999998</v>
      </c>
      <c r="Z149" s="128">
        <v>-78.053971022160852</v>
      </c>
      <c r="AA149" s="13">
        <v>11948.525638499998</v>
      </c>
      <c r="AB149" s="13">
        <v>3130.5403296</v>
      </c>
      <c r="AC149" s="128">
        <v>-73.799777275340858</v>
      </c>
      <c r="AD149" s="129">
        <v>0.48141008323398526</v>
      </c>
    </row>
    <row r="150" spans="1:30" s="26" customFormat="1" ht="13">
      <c r="A150" s="9"/>
      <c r="B150" s="106"/>
      <c r="C150" s="13"/>
      <c r="D150" s="13"/>
      <c r="E150" s="128"/>
      <c r="F150" s="13"/>
      <c r="G150" s="13"/>
      <c r="H150" s="128"/>
      <c r="I150" s="129"/>
      <c r="J150" s="131"/>
      <c r="K150" s="131"/>
      <c r="L150" s="128"/>
      <c r="M150" s="131"/>
      <c r="N150" s="131"/>
      <c r="O150" s="128"/>
      <c r="P150" s="129"/>
      <c r="Q150" s="132"/>
      <c r="R150" s="132"/>
      <c r="S150" s="128"/>
      <c r="T150" s="131"/>
      <c r="U150" s="131"/>
      <c r="V150" s="128"/>
      <c r="W150" s="129"/>
      <c r="X150" s="13"/>
      <c r="Y150" s="13"/>
      <c r="Z150" s="128"/>
      <c r="AA150" s="13"/>
      <c r="AB150" s="13"/>
      <c r="AC150" s="128"/>
      <c r="AD150" s="129"/>
    </row>
    <row r="151" spans="1:30" s="25" customFormat="1" ht="15.5">
      <c r="A151" s="19">
        <v>22</v>
      </c>
      <c r="B151" s="105" t="s">
        <v>60</v>
      </c>
      <c r="C151" s="123">
        <v>206.36898206300003</v>
      </c>
      <c r="D151" s="123">
        <v>214.15214411599999</v>
      </c>
      <c r="E151" s="124">
        <v>3.7714786278414278</v>
      </c>
      <c r="F151" s="123">
        <v>299.61272026400002</v>
      </c>
      <c r="G151" s="123">
        <v>625.72498292900002</v>
      </c>
      <c r="H151" s="124">
        <v>108.84459857967654</v>
      </c>
      <c r="I151" s="125">
        <v>0.84930978526071566</v>
      </c>
      <c r="J151" s="126">
        <v>9462</v>
      </c>
      <c r="K151" s="126">
        <v>13967</v>
      </c>
      <c r="L151" s="124">
        <v>47.611498626083282</v>
      </c>
      <c r="M151" s="126">
        <v>15105</v>
      </c>
      <c r="N151" s="126">
        <v>29560</v>
      </c>
      <c r="O151" s="124">
        <v>95.696789142667996</v>
      </c>
      <c r="P151" s="125">
        <v>0.56807055297901698</v>
      </c>
      <c r="Q151" s="126">
        <v>189665</v>
      </c>
      <c r="R151" s="126">
        <v>9469</v>
      </c>
      <c r="S151" s="124">
        <v>-95.007513247040833</v>
      </c>
      <c r="T151" s="126">
        <v>439835</v>
      </c>
      <c r="U151" s="126">
        <v>673820</v>
      </c>
      <c r="V151" s="124">
        <v>53.198358475337336</v>
      </c>
      <c r="W151" s="125">
        <v>1.4204796090807734</v>
      </c>
      <c r="X151" s="123">
        <v>6104.4411185999998</v>
      </c>
      <c r="Y151" s="123">
        <v>2224.2649959</v>
      </c>
      <c r="Z151" s="124">
        <v>-63.563167328737933</v>
      </c>
      <c r="AA151" s="123">
        <v>22500.059086899997</v>
      </c>
      <c r="AB151" s="123">
        <v>26924.645888399999</v>
      </c>
      <c r="AC151" s="124">
        <v>19.664778587519745</v>
      </c>
      <c r="AD151" s="125">
        <v>1.9242413999475163</v>
      </c>
    </row>
    <row r="152" spans="1:30" s="26" customFormat="1" ht="13">
      <c r="A152" s="9"/>
      <c r="B152" s="107" t="s">
        <v>3</v>
      </c>
      <c r="C152" s="13">
        <v>15.088850400000002</v>
      </c>
      <c r="D152" s="13">
        <v>12.471069999999999</v>
      </c>
      <c r="E152" s="128">
        <v>-17.349104342634362</v>
      </c>
      <c r="F152" s="13">
        <v>24.301039899999999</v>
      </c>
      <c r="G152" s="13">
        <v>28.338482199999998</v>
      </c>
      <c r="H152" s="128">
        <v>16.614277893515162</v>
      </c>
      <c r="I152" s="129">
        <v>0.3444358815960824</v>
      </c>
      <c r="J152" s="131">
        <v>278</v>
      </c>
      <c r="K152" s="131">
        <v>310</v>
      </c>
      <c r="L152" s="128">
        <v>11.510791366906476</v>
      </c>
      <c r="M152" s="131">
        <v>488</v>
      </c>
      <c r="N152" s="131">
        <v>725</v>
      </c>
      <c r="O152" s="128">
        <v>48.565573770491802</v>
      </c>
      <c r="P152" s="129">
        <v>0.28993737352731813</v>
      </c>
      <c r="Q152" s="132">
        <v>0</v>
      </c>
      <c r="R152" s="132">
        <v>0</v>
      </c>
      <c r="S152" s="104" t="s">
        <v>57</v>
      </c>
      <c r="T152" s="131">
        <v>0</v>
      </c>
      <c r="U152" s="131">
        <v>0</v>
      </c>
      <c r="V152" s="104" t="s">
        <v>57</v>
      </c>
      <c r="W152" s="104" t="s">
        <v>57</v>
      </c>
      <c r="X152" s="13">
        <v>49.239620800000004</v>
      </c>
      <c r="Y152" s="13">
        <v>14.2062627</v>
      </c>
      <c r="Z152" s="128">
        <v>-71.148716279309767</v>
      </c>
      <c r="AA152" s="13">
        <v>92.218708599999985</v>
      </c>
      <c r="AB152" s="13">
        <v>36.081341399999999</v>
      </c>
      <c r="AC152" s="128">
        <v>-60.874163228089259</v>
      </c>
      <c r="AD152" s="129">
        <v>0.47487287018861879</v>
      </c>
    </row>
    <row r="153" spans="1:30" s="26" customFormat="1" ht="13">
      <c r="A153" s="9"/>
      <c r="B153" s="107" t="s">
        <v>4</v>
      </c>
      <c r="C153" s="13">
        <v>69.047182550000002</v>
      </c>
      <c r="D153" s="13">
        <v>93.006450199999975</v>
      </c>
      <c r="E153" s="128">
        <v>34.699848372017279</v>
      </c>
      <c r="F153" s="13">
        <v>104.82370544999999</v>
      </c>
      <c r="G153" s="13">
        <v>213.42838795</v>
      </c>
      <c r="H153" s="128">
        <v>103.60698663891776</v>
      </c>
      <c r="I153" s="129">
        <v>1.280773118748824</v>
      </c>
      <c r="J153" s="131">
        <v>9180</v>
      </c>
      <c r="K153" s="131">
        <v>13655</v>
      </c>
      <c r="L153" s="128">
        <v>48.747276688453162</v>
      </c>
      <c r="M153" s="131">
        <v>14603</v>
      </c>
      <c r="N153" s="131">
        <v>28828</v>
      </c>
      <c r="O153" s="128">
        <v>97.4114907895638</v>
      </c>
      <c r="P153" s="129">
        <v>0.58276351764533463</v>
      </c>
      <c r="Q153" s="108">
        <v>0</v>
      </c>
      <c r="R153" s="108">
        <v>0</v>
      </c>
      <c r="S153" s="104" t="s">
        <v>57</v>
      </c>
      <c r="T153" s="131">
        <v>0</v>
      </c>
      <c r="U153" s="131">
        <v>0</v>
      </c>
      <c r="V153" s="104" t="s">
        <v>57</v>
      </c>
      <c r="W153" s="104" t="s">
        <v>57</v>
      </c>
      <c r="X153" s="13">
        <v>924.18473649999999</v>
      </c>
      <c r="Y153" s="13">
        <v>1025.3578332</v>
      </c>
      <c r="Z153" s="128">
        <v>10.947280636028982</v>
      </c>
      <c r="AA153" s="13">
        <v>1542.9962308999998</v>
      </c>
      <c r="AB153" s="13">
        <v>2368.9262006999998</v>
      </c>
      <c r="AC153" s="128">
        <v>53.527672541251192</v>
      </c>
      <c r="AD153" s="129">
        <v>0.59145415860204431</v>
      </c>
    </row>
    <row r="154" spans="1:30" ht="13">
      <c r="A154" s="9"/>
      <c r="B154" s="107" t="s">
        <v>5</v>
      </c>
      <c r="C154" s="13">
        <v>15.1323866</v>
      </c>
      <c r="D154" s="13">
        <v>25.770339600000003</v>
      </c>
      <c r="E154" s="128">
        <v>70.299241495720196</v>
      </c>
      <c r="F154" s="13">
        <v>29.710797699999997</v>
      </c>
      <c r="G154" s="13">
        <v>61.091568000000009</v>
      </c>
      <c r="H154" s="128">
        <v>105.62075988959401</v>
      </c>
      <c r="I154" s="129">
        <v>0.13436885445356447</v>
      </c>
      <c r="J154" s="131">
        <v>0</v>
      </c>
      <c r="K154" s="131">
        <v>0</v>
      </c>
      <c r="L154" s="104" t="s">
        <v>57</v>
      </c>
      <c r="M154" s="131">
        <v>0</v>
      </c>
      <c r="N154" s="131">
        <v>2</v>
      </c>
      <c r="O154" s="104" t="s">
        <v>57</v>
      </c>
      <c r="P154" s="129">
        <v>0.37453183520599254</v>
      </c>
      <c r="Q154" s="132">
        <v>6751</v>
      </c>
      <c r="R154" s="132">
        <v>8226</v>
      </c>
      <c r="S154" s="128">
        <v>21.848615019997037</v>
      </c>
      <c r="T154" s="131">
        <v>12703</v>
      </c>
      <c r="U154" s="131">
        <v>19900</v>
      </c>
      <c r="V154" s="128">
        <v>56.655908053215775</v>
      </c>
      <c r="W154" s="129">
        <v>6.6076322867906323E-2</v>
      </c>
      <c r="X154" s="13">
        <v>846.5492999999999</v>
      </c>
      <c r="Y154" s="13">
        <v>1159.8408999999999</v>
      </c>
      <c r="Z154" s="128">
        <v>37.008075017013191</v>
      </c>
      <c r="AA154" s="13">
        <v>1633.3314</v>
      </c>
      <c r="AB154" s="13">
        <v>2748.7348999999999</v>
      </c>
      <c r="AC154" s="128">
        <v>68.290091037250605</v>
      </c>
      <c r="AD154" s="129">
        <v>0.89909574309550178</v>
      </c>
    </row>
    <row r="155" spans="1:30" ht="13">
      <c r="A155" s="9"/>
      <c r="B155" s="107" t="s">
        <v>6</v>
      </c>
      <c r="C155" s="13">
        <v>3.7922499999999996E-3</v>
      </c>
      <c r="D155" s="13">
        <v>0</v>
      </c>
      <c r="E155" s="128">
        <v>-100</v>
      </c>
      <c r="F155" s="13">
        <v>4.9685223999999993E-2</v>
      </c>
      <c r="G155" s="13">
        <v>-4.8573000000000002E-3</v>
      </c>
      <c r="H155" s="128">
        <v>-109.77614592217597</v>
      </c>
      <c r="I155" s="129">
        <v>-4.4547027133297042E-4</v>
      </c>
      <c r="J155" s="131">
        <v>0</v>
      </c>
      <c r="K155" s="131">
        <v>0</v>
      </c>
      <c r="L155" s="104" t="s">
        <v>57</v>
      </c>
      <c r="M155" s="131">
        <v>0</v>
      </c>
      <c r="N155" s="131">
        <v>0</v>
      </c>
      <c r="O155" s="104" t="s">
        <v>57</v>
      </c>
      <c r="P155" s="129">
        <v>0</v>
      </c>
      <c r="Q155" s="132">
        <v>3</v>
      </c>
      <c r="R155" s="132">
        <v>0</v>
      </c>
      <c r="S155" s="128">
        <v>-100</v>
      </c>
      <c r="T155" s="131">
        <v>26</v>
      </c>
      <c r="U155" s="131">
        <v>-2</v>
      </c>
      <c r="V155" s="128">
        <v>-107.69230769230769</v>
      </c>
      <c r="W155" s="129">
        <v>-2.2801819129130124E-4</v>
      </c>
      <c r="X155" s="13">
        <v>0.55000000000000004</v>
      </c>
      <c r="Y155" s="13">
        <v>0</v>
      </c>
      <c r="Z155" s="128">
        <v>-100</v>
      </c>
      <c r="AA155" s="13">
        <v>7.2923999999999998</v>
      </c>
      <c r="AB155" s="13">
        <v>-0.70319999999999994</v>
      </c>
      <c r="AC155" s="128">
        <v>-109.6429159124568</v>
      </c>
      <c r="AD155" s="129">
        <v>-2.0032633669868501E-3</v>
      </c>
    </row>
    <row r="156" spans="1:30" ht="13">
      <c r="A156" s="9"/>
      <c r="B156" s="106" t="s">
        <v>25</v>
      </c>
      <c r="C156" s="13">
        <v>107.09677026300001</v>
      </c>
      <c r="D156" s="13">
        <v>82.904284315999988</v>
      </c>
      <c r="E156" s="128">
        <v>-22.589370237393691</v>
      </c>
      <c r="F156" s="13">
        <v>140.72749199</v>
      </c>
      <c r="G156" s="13">
        <v>322.87140207900006</v>
      </c>
      <c r="H156" s="128">
        <v>129.43022540467294</v>
      </c>
      <c r="I156" s="129">
        <v>14.497731745143225</v>
      </c>
      <c r="J156" s="131">
        <v>4</v>
      </c>
      <c r="K156" s="131">
        <v>2</v>
      </c>
      <c r="L156" s="128">
        <v>-50</v>
      </c>
      <c r="M156" s="131">
        <v>14</v>
      </c>
      <c r="N156" s="131">
        <v>5</v>
      </c>
      <c r="O156" s="128">
        <v>-64.285714285714292</v>
      </c>
      <c r="P156" s="129">
        <v>0.10170870626525631</v>
      </c>
      <c r="Q156" s="131">
        <v>182911</v>
      </c>
      <c r="R156" s="131">
        <v>1243</v>
      </c>
      <c r="S156" s="128">
        <v>-99.320434528267839</v>
      </c>
      <c r="T156" s="131">
        <v>427106</v>
      </c>
      <c r="U156" s="131">
        <v>653922</v>
      </c>
      <c r="V156" s="128">
        <v>53.105318117750635</v>
      </c>
      <c r="W156" s="129">
        <v>3.977076171917763</v>
      </c>
      <c r="X156" s="13">
        <v>4283.9174612999996</v>
      </c>
      <c r="Y156" s="13">
        <v>24.86</v>
      </c>
      <c r="Z156" s="128">
        <v>-99.419690033139545</v>
      </c>
      <c r="AA156" s="13">
        <v>19224.220347399998</v>
      </c>
      <c r="AB156" s="13">
        <v>21771.606646299999</v>
      </c>
      <c r="AC156" s="128">
        <v>13.250921248645204</v>
      </c>
      <c r="AD156" s="129">
        <v>3.3480070097266794</v>
      </c>
    </row>
    <row r="157" spans="1:30" ht="13">
      <c r="A157" s="9"/>
      <c r="B157" s="106"/>
      <c r="C157" s="13"/>
      <c r="D157" s="13"/>
      <c r="E157" s="128"/>
      <c r="F157" s="13"/>
      <c r="G157" s="13"/>
      <c r="H157" s="128"/>
      <c r="I157" s="129"/>
      <c r="J157" s="131"/>
      <c r="K157" s="131"/>
      <c r="L157" s="128"/>
      <c r="M157" s="131"/>
      <c r="N157" s="131"/>
      <c r="O157" s="128"/>
      <c r="P157" s="129"/>
      <c r="Q157" s="131"/>
      <c r="R157" s="131"/>
      <c r="S157" s="128"/>
      <c r="T157" s="131"/>
      <c r="U157" s="131"/>
      <c r="V157" s="128"/>
      <c r="W157" s="129"/>
      <c r="X157" s="13"/>
      <c r="Y157" s="13"/>
      <c r="Z157" s="128"/>
      <c r="AA157" s="13"/>
      <c r="AB157" s="13"/>
      <c r="AC157" s="128"/>
      <c r="AD157" s="129"/>
    </row>
    <row r="158" spans="1:30" s="24" customFormat="1" ht="15.5">
      <c r="A158" s="19">
        <v>23</v>
      </c>
      <c r="B158" s="105" t="s">
        <v>42</v>
      </c>
      <c r="C158" s="123">
        <v>322.94124801999999</v>
      </c>
      <c r="D158" s="123">
        <v>501.27017346462952</v>
      </c>
      <c r="E158" s="124">
        <v>55.220237903330791</v>
      </c>
      <c r="F158" s="123">
        <v>660.98390731000006</v>
      </c>
      <c r="G158" s="123">
        <v>1288.1530967246501</v>
      </c>
      <c r="H158" s="124">
        <v>94.884184392179023</v>
      </c>
      <c r="I158" s="125">
        <v>1.7484375081860484</v>
      </c>
      <c r="J158" s="126">
        <v>37509</v>
      </c>
      <c r="K158" s="126">
        <v>48929</v>
      </c>
      <c r="L158" s="124">
        <v>30.446026287024448</v>
      </c>
      <c r="M158" s="126">
        <v>82123</v>
      </c>
      <c r="N158" s="126">
        <v>127230</v>
      </c>
      <c r="O158" s="124">
        <v>54.926147364319377</v>
      </c>
      <c r="P158" s="125">
        <v>2.4450479179810665</v>
      </c>
      <c r="Q158" s="126">
        <v>27841</v>
      </c>
      <c r="R158" s="126">
        <v>166060</v>
      </c>
      <c r="S158" s="124">
        <v>496.45846054380229</v>
      </c>
      <c r="T158" s="126">
        <v>97811</v>
      </c>
      <c r="U158" s="126">
        <v>381304</v>
      </c>
      <c r="V158" s="124">
        <v>289.83754383453805</v>
      </c>
      <c r="W158" s="125">
        <v>0.80382677400631519</v>
      </c>
      <c r="X158" s="123">
        <v>19284.491699843999</v>
      </c>
      <c r="Y158" s="123">
        <v>60920.353071994003</v>
      </c>
      <c r="Z158" s="124">
        <v>215.9033383933413</v>
      </c>
      <c r="AA158" s="123">
        <v>53428.893801191007</v>
      </c>
      <c r="AB158" s="123">
        <v>147088.39827461599</v>
      </c>
      <c r="AC158" s="124">
        <v>175.29748008995307</v>
      </c>
      <c r="AD158" s="125">
        <v>10.512063430105309</v>
      </c>
    </row>
    <row r="159" spans="1:30" ht="15" customHeight="1">
      <c r="A159" s="9"/>
      <c r="B159" s="107" t="s">
        <v>3</v>
      </c>
      <c r="C159" s="13">
        <v>33.111513953999996</v>
      </c>
      <c r="D159" s="13">
        <v>56.152373556000001</v>
      </c>
      <c r="E159" s="128">
        <v>69.585642124396372</v>
      </c>
      <c r="F159" s="13">
        <v>71.449405706000007</v>
      </c>
      <c r="G159" s="13">
        <v>169.74422161600003</v>
      </c>
      <c r="H159" s="128">
        <v>137.57261510958327</v>
      </c>
      <c r="I159" s="129">
        <v>2.0631309822989659</v>
      </c>
      <c r="J159" s="131">
        <v>397</v>
      </c>
      <c r="K159" s="131">
        <v>528</v>
      </c>
      <c r="L159" s="128">
        <v>32.997481108312343</v>
      </c>
      <c r="M159" s="131">
        <v>822</v>
      </c>
      <c r="N159" s="131">
        <v>1613</v>
      </c>
      <c r="O159" s="128">
        <v>96.228710462287097</v>
      </c>
      <c r="P159" s="129">
        <v>0.64506066689595043</v>
      </c>
      <c r="Q159" s="132">
        <v>0</v>
      </c>
      <c r="R159" s="132">
        <v>0</v>
      </c>
      <c r="S159" s="104" t="s">
        <v>57</v>
      </c>
      <c r="T159" s="131">
        <v>0</v>
      </c>
      <c r="U159" s="131">
        <v>0</v>
      </c>
      <c r="V159" s="104" t="s">
        <v>57</v>
      </c>
      <c r="W159" s="104" t="s">
        <v>57</v>
      </c>
      <c r="X159" s="13">
        <v>93.473819500000005</v>
      </c>
      <c r="Y159" s="13">
        <v>116.62520999999998</v>
      </c>
      <c r="Z159" s="128">
        <v>24.76778056555181</v>
      </c>
      <c r="AA159" s="13">
        <v>236.81352649999999</v>
      </c>
      <c r="AB159" s="13">
        <v>287.73534699999999</v>
      </c>
      <c r="AC159" s="128">
        <v>21.502918879931464</v>
      </c>
      <c r="AD159" s="129">
        <v>3.786935429307742</v>
      </c>
    </row>
    <row r="160" spans="1:30" s="26" customFormat="1" ht="13">
      <c r="A160" s="9"/>
      <c r="B160" s="107" t="s">
        <v>4</v>
      </c>
      <c r="C160" s="13">
        <v>272.52701594299998</v>
      </c>
      <c r="D160" s="13">
        <v>410.31882999999993</v>
      </c>
      <c r="E160" s="128">
        <v>50.560790672517996</v>
      </c>
      <c r="F160" s="13">
        <v>558.67202289500005</v>
      </c>
      <c r="G160" s="13">
        <v>1003.9431309830001</v>
      </c>
      <c r="H160" s="128">
        <v>79.701701506482408</v>
      </c>
      <c r="I160" s="129">
        <v>6.0246126921821981</v>
      </c>
      <c r="J160" s="131">
        <v>37088</v>
      </c>
      <c r="K160" s="131">
        <v>48350</v>
      </c>
      <c r="L160" s="128">
        <v>30.365616911130282</v>
      </c>
      <c r="M160" s="131">
        <v>81235</v>
      </c>
      <c r="N160" s="131">
        <v>125512</v>
      </c>
      <c r="O160" s="128">
        <v>54.504831661229773</v>
      </c>
      <c r="P160" s="129">
        <v>2.5372490157729026</v>
      </c>
      <c r="Q160" s="132">
        <v>0</v>
      </c>
      <c r="R160" s="132">
        <v>0</v>
      </c>
      <c r="S160" s="104" t="s">
        <v>57</v>
      </c>
      <c r="T160" s="131">
        <v>0</v>
      </c>
      <c r="U160" s="131">
        <v>0</v>
      </c>
      <c r="V160" s="104" t="s">
        <v>57</v>
      </c>
      <c r="W160" s="104" t="s">
        <v>57</v>
      </c>
      <c r="X160" s="13">
        <v>15521.845312299998</v>
      </c>
      <c r="Y160" s="13">
        <v>31956.584533000001</v>
      </c>
      <c r="Z160" s="128">
        <v>105.88134909240847</v>
      </c>
      <c r="AA160" s="13">
        <v>37780.4125728</v>
      </c>
      <c r="AB160" s="13">
        <v>82039.458172800005</v>
      </c>
      <c r="AC160" s="128">
        <v>117.14812673026312</v>
      </c>
      <c r="AD160" s="129">
        <v>20.482942310074069</v>
      </c>
    </row>
    <row r="161" spans="1:30" s="26" customFormat="1" ht="13">
      <c r="A161" s="9"/>
      <c r="B161" s="107" t="s">
        <v>5</v>
      </c>
      <c r="C161" s="13">
        <v>3.5245465780000003</v>
      </c>
      <c r="D161" s="13">
        <v>16.756393770629977</v>
      </c>
      <c r="E161" s="128">
        <v>375.41984195136877</v>
      </c>
      <c r="F161" s="13">
        <v>8.8184100589999996</v>
      </c>
      <c r="G161" s="13">
        <v>43.988842320649958</v>
      </c>
      <c r="H161" s="128">
        <v>398.82963058352328</v>
      </c>
      <c r="I161" s="129">
        <v>9.6751983045585119E-2</v>
      </c>
      <c r="J161" s="131">
        <v>0</v>
      </c>
      <c r="K161" s="131">
        <v>0</v>
      </c>
      <c r="L161" s="104" t="s">
        <v>57</v>
      </c>
      <c r="M161" s="131">
        <v>1</v>
      </c>
      <c r="N161" s="131">
        <v>1</v>
      </c>
      <c r="O161" s="128">
        <v>0</v>
      </c>
      <c r="P161" s="129">
        <v>0.18726591760299627</v>
      </c>
      <c r="Q161" s="132">
        <v>2965</v>
      </c>
      <c r="R161" s="132">
        <v>12259</v>
      </c>
      <c r="S161" s="128">
        <v>313.45699831365937</v>
      </c>
      <c r="T161" s="131">
        <v>7332</v>
      </c>
      <c r="U161" s="131">
        <v>32917</v>
      </c>
      <c r="V161" s="128">
        <v>348.94980905619207</v>
      </c>
      <c r="W161" s="129">
        <v>0.10929820702728003</v>
      </c>
      <c r="X161" s="13">
        <v>289.13541800000002</v>
      </c>
      <c r="Y161" s="13">
        <v>1307.32549965</v>
      </c>
      <c r="Z161" s="128">
        <v>352.14989871977565</v>
      </c>
      <c r="AA161" s="13">
        <v>691.63204830000006</v>
      </c>
      <c r="AB161" s="13">
        <v>3314.1193006990002</v>
      </c>
      <c r="AC161" s="128">
        <v>379.17376137282156</v>
      </c>
      <c r="AD161" s="129">
        <v>1.0840298041724987</v>
      </c>
    </row>
    <row r="162" spans="1:30" s="26" customFormat="1" ht="13">
      <c r="A162" s="9"/>
      <c r="B162" s="107" t="s">
        <v>6</v>
      </c>
      <c r="C162" s="13">
        <v>0.37149432699999996</v>
      </c>
      <c r="D162" s="13">
        <v>0.56036926899999995</v>
      </c>
      <c r="E162" s="128">
        <v>50.841945158424991</v>
      </c>
      <c r="F162" s="13">
        <v>1.0309093520000001</v>
      </c>
      <c r="G162" s="13">
        <v>1.2405884730000003</v>
      </c>
      <c r="H162" s="128">
        <v>20.339239390273779</v>
      </c>
      <c r="I162" s="129">
        <v>0.11377623035016687</v>
      </c>
      <c r="J162" s="131">
        <v>2</v>
      </c>
      <c r="K162" s="131">
        <v>0</v>
      </c>
      <c r="L162" s="104">
        <v>-100</v>
      </c>
      <c r="M162" s="131">
        <v>10</v>
      </c>
      <c r="N162" s="131">
        <v>8</v>
      </c>
      <c r="O162" s="128">
        <v>-20</v>
      </c>
      <c r="P162" s="129">
        <v>0.61538461538461542</v>
      </c>
      <c r="Q162" s="108">
        <v>28</v>
      </c>
      <c r="R162" s="108">
        <v>0</v>
      </c>
      <c r="S162" s="104">
        <v>-100</v>
      </c>
      <c r="T162" s="131">
        <v>13126</v>
      </c>
      <c r="U162" s="131">
        <v>3917</v>
      </c>
      <c r="V162" s="128">
        <v>-70.158464117019662</v>
      </c>
      <c r="W162" s="129">
        <v>0.44657362764401343</v>
      </c>
      <c r="X162" s="13">
        <v>0</v>
      </c>
      <c r="Y162" s="13">
        <v>0</v>
      </c>
      <c r="Z162" s="104" t="s">
        <v>57</v>
      </c>
      <c r="AA162" s="13">
        <v>0.91269999999999996</v>
      </c>
      <c r="AB162" s="13">
        <v>0</v>
      </c>
      <c r="AC162" s="128">
        <v>-100</v>
      </c>
      <c r="AD162" s="129">
        <v>0</v>
      </c>
    </row>
    <row r="163" spans="1:30" s="26" customFormat="1" ht="13">
      <c r="A163" s="9"/>
      <c r="B163" s="106" t="s">
        <v>25</v>
      </c>
      <c r="C163" s="13">
        <v>13.406677218</v>
      </c>
      <c r="D163" s="13">
        <v>17.482206868999654</v>
      </c>
      <c r="E163" s="128">
        <v>30.399252437641955</v>
      </c>
      <c r="F163" s="13">
        <v>21.013159298000001</v>
      </c>
      <c r="G163" s="13">
        <v>69.236313332000094</v>
      </c>
      <c r="H163" s="128">
        <v>229.49026060345855</v>
      </c>
      <c r="I163" s="129">
        <v>3.1088832620252282</v>
      </c>
      <c r="J163" s="131">
        <v>22</v>
      </c>
      <c r="K163" s="131">
        <v>51</v>
      </c>
      <c r="L163" s="128">
        <v>131.81818181818181</v>
      </c>
      <c r="M163" s="131">
        <v>55</v>
      </c>
      <c r="N163" s="131">
        <v>96</v>
      </c>
      <c r="O163" s="128">
        <v>74.545454545454547</v>
      </c>
      <c r="P163" s="129">
        <v>1.9528071602929211</v>
      </c>
      <c r="Q163" s="132">
        <v>24848</v>
      </c>
      <c r="R163" s="132">
        <v>153801</v>
      </c>
      <c r="S163" s="128">
        <v>518.96732131358658</v>
      </c>
      <c r="T163" s="131">
        <v>77353</v>
      </c>
      <c r="U163" s="131">
        <v>344470</v>
      </c>
      <c r="V163" s="128">
        <v>345.3220948120952</v>
      </c>
      <c r="W163" s="129">
        <v>2.0950257506866445</v>
      </c>
      <c r="X163" s="13">
        <v>3380.0371500440001</v>
      </c>
      <c r="Y163" s="13">
        <v>27539.817829344003</v>
      </c>
      <c r="Z163" s="128">
        <v>714.77855440096266</v>
      </c>
      <c r="AA163" s="13">
        <v>14719.122953591001</v>
      </c>
      <c r="AB163" s="13">
        <v>61447.085454116983</v>
      </c>
      <c r="AC163" s="128">
        <v>317.46431256711418</v>
      </c>
      <c r="AD163" s="129">
        <v>9.4492462669318051</v>
      </c>
    </row>
    <row r="164" spans="1:30" s="26" customFormat="1" ht="13">
      <c r="A164" s="9"/>
      <c r="B164" s="106"/>
      <c r="C164" s="13"/>
      <c r="D164" s="13"/>
      <c r="E164" s="128"/>
      <c r="F164" s="13"/>
      <c r="G164" s="13"/>
      <c r="H164" s="128"/>
      <c r="I164" s="129"/>
      <c r="J164" s="131"/>
      <c r="K164" s="131"/>
      <c r="L164" s="128"/>
      <c r="M164" s="131"/>
      <c r="N164" s="131"/>
      <c r="O164" s="128"/>
      <c r="P164" s="129"/>
      <c r="Q164" s="132"/>
      <c r="R164" s="132"/>
      <c r="S164" s="128"/>
      <c r="T164" s="131"/>
      <c r="U164" s="131"/>
      <c r="V164" s="128"/>
      <c r="W164" s="129"/>
      <c r="X164" s="13"/>
      <c r="Y164" s="13"/>
      <c r="Z164" s="128"/>
      <c r="AA164" s="13"/>
      <c r="AB164" s="13"/>
      <c r="AC164" s="128"/>
      <c r="AD164" s="129"/>
    </row>
    <row r="165" spans="1:30" s="25" customFormat="1" ht="15.5">
      <c r="A165" s="21"/>
      <c r="B165" s="105" t="s">
        <v>10</v>
      </c>
      <c r="C165" s="123">
        <v>8213.1952594579452</v>
      </c>
      <c r="D165" s="123">
        <v>10610.886688566587</v>
      </c>
      <c r="E165" s="124">
        <v>29.193162385218692</v>
      </c>
      <c r="F165" s="123">
        <v>17124.577576356209</v>
      </c>
      <c r="G165" s="123">
        <v>25473.525279386595</v>
      </c>
      <c r="H165" s="124">
        <v>48.754181910786073</v>
      </c>
      <c r="I165" s="125">
        <v>34.575755923308108</v>
      </c>
      <c r="J165" s="126">
        <v>539809</v>
      </c>
      <c r="K165" s="126">
        <v>605821</v>
      </c>
      <c r="L165" s="124">
        <v>12.22876980561643</v>
      </c>
      <c r="M165" s="126">
        <v>1151926</v>
      </c>
      <c r="N165" s="126">
        <v>1516193</v>
      </c>
      <c r="O165" s="124">
        <v>31.622430607521661</v>
      </c>
      <c r="P165" s="125">
        <v>29.137503245362474</v>
      </c>
      <c r="Q165" s="126">
        <v>8401623</v>
      </c>
      <c r="R165" s="126">
        <v>18074438</v>
      </c>
      <c r="S165" s="124">
        <v>115.13031470229026</v>
      </c>
      <c r="T165" s="126">
        <v>28404218</v>
      </c>
      <c r="U165" s="126">
        <v>42485249</v>
      </c>
      <c r="V165" s="124">
        <v>49.573732323840069</v>
      </c>
      <c r="W165" s="125">
        <v>89.563132425899099</v>
      </c>
      <c r="X165" s="123">
        <v>357158.47025566804</v>
      </c>
      <c r="Y165" s="123">
        <v>439118.92327777995</v>
      </c>
      <c r="Z165" s="124">
        <v>22.947923638333815</v>
      </c>
      <c r="AA165" s="123">
        <v>1050009.6006692867</v>
      </c>
      <c r="AB165" s="123">
        <v>1192681.2398972092</v>
      </c>
      <c r="AC165" s="124">
        <v>13.587650925951744</v>
      </c>
      <c r="AD165" s="125">
        <v>85.238135656956132</v>
      </c>
    </row>
    <row r="166" spans="1:30" ht="13">
      <c r="A166" s="8"/>
      <c r="B166" s="106" t="s">
        <v>3</v>
      </c>
      <c r="C166" s="135">
        <v>1215.2571233069464</v>
      </c>
      <c r="D166" s="135">
        <v>1418.0463812693692</v>
      </c>
      <c r="E166" s="128">
        <v>16.686942546824547</v>
      </c>
      <c r="F166" s="135">
        <v>2674.248064956113</v>
      </c>
      <c r="G166" s="135">
        <v>3594.2617163975838</v>
      </c>
      <c r="H166" s="128">
        <v>34.40270420300628</v>
      </c>
      <c r="I166" s="129">
        <v>43.685921293782279</v>
      </c>
      <c r="J166" s="136">
        <v>20483</v>
      </c>
      <c r="K166" s="136">
        <v>19848</v>
      </c>
      <c r="L166" s="128">
        <v>-3.1001318166284237</v>
      </c>
      <c r="M166" s="136">
        <v>47533</v>
      </c>
      <c r="N166" s="136">
        <v>55762</v>
      </c>
      <c r="O166" s="128">
        <v>17.312183114888605</v>
      </c>
      <c r="P166" s="129">
        <v>22.299983203628017</v>
      </c>
      <c r="Q166" s="136">
        <v>0</v>
      </c>
      <c r="R166" s="136">
        <v>0</v>
      </c>
      <c r="S166" s="104" t="s">
        <v>57</v>
      </c>
      <c r="T166" s="136">
        <v>0</v>
      </c>
      <c r="U166" s="136">
        <v>0</v>
      </c>
      <c r="V166" s="104" t="s">
        <v>57</v>
      </c>
      <c r="W166" s="104" t="s">
        <v>57</v>
      </c>
      <c r="X166" s="135">
        <v>1814.6076118409997</v>
      </c>
      <c r="Y166" s="135">
        <v>1602.6479434290002</v>
      </c>
      <c r="Z166" s="128">
        <v>-11.680743926614362</v>
      </c>
      <c r="AA166" s="135">
        <v>4116.015027419</v>
      </c>
      <c r="AB166" s="135">
        <v>4156.443843604</v>
      </c>
      <c r="AC166" s="128">
        <v>0.98223198690193714</v>
      </c>
      <c r="AD166" s="129">
        <v>54.703687313300556</v>
      </c>
    </row>
    <row r="167" spans="1:30" ht="13">
      <c r="A167" s="8"/>
      <c r="B167" s="106" t="s">
        <v>4</v>
      </c>
      <c r="C167" s="135">
        <v>3425.2637236525065</v>
      </c>
      <c r="D167" s="135">
        <v>4189.3100358544552</v>
      </c>
      <c r="E167" s="128">
        <v>22.306203955215835</v>
      </c>
      <c r="F167" s="135">
        <v>7058.065382702941</v>
      </c>
      <c r="G167" s="135">
        <v>10380.594446420248</v>
      </c>
      <c r="H167" s="128">
        <v>47.074217700784722</v>
      </c>
      <c r="I167" s="129">
        <v>62.293429900820193</v>
      </c>
      <c r="J167" s="136">
        <v>518926</v>
      </c>
      <c r="K167" s="136">
        <v>585505</v>
      </c>
      <c r="L167" s="128">
        <v>12.83015304686988</v>
      </c>
      <c r="M167" s="136">
        <v>1102793</v>
      </c>
      <c r="N167" s="136">
        <v>1459303</v>
      </c>
      <c r="O167" s="128">
        <v>32.327916481152855</v>
      </c>
      <c r="P167" s="129">
        <v>29.500088441459333</v>
      </c>
      <c r="Q167" s="136">
        <v>0</v>
      </c>
      <c r="R167" s="136">
        <v>0</v>
      </c>
      <c r="S167" s="104" t="s">
        <v>57</v>
      </c>
      <c r="T167" s="136">
        <v>0</v>
      </c>
      <c r="U167" s="136">
        <v>0</v>
      </c>
      <c r="V167" s="104" t="s">
        <v>57</v>
      </c>
      <c r="W167" s="104" t="s">
        <v>57</v>
      </c>
      <c r="X167" s="135">
        <v>109665.19022501899</v>
      </c>
      <c r="Y167" s="135">
        <v>107852.30526821896</v>
      </c>
      <c r="Z167" s="128">
        <v>-1.653108842541759</v>
      </c>
      <c r="AA167" s="135">
        <v>266809.21516827302</v>
      </c>
      <c r="AB167" s="135">
        <v>284034.392232657</v>
      </c>
      <c r="AC167" s="128">
        <v>6.4559903051025787</v>
      </c>
      <c r="AD167" s="129">
        <v>70.915388762371919</v>
      </c>
    </row>
    <row r="168" spans="1:30" ht="13">
      <c r="A168" s="8"/>
      <c r="B168" s="106" t="s">
        <v>5</v>
      </c>
      <c r="C168" s="135">
        <v>2651.4595972778302</v>
      </c>
      <c r="D168" s="135">
        <v>4356.0647463204568</v>
      </c>
      <c r="E168" s="128">
        <v>64.289312603242792</v>
      </c>
      <c r="F168" s="135">
        <v>5945.2191108518318</v>
      </c>
      <c r="G168" s="135">
        <v>9321.71208947175</v>
      </c>
      <c r="H168" s="128">
        <v>56.793415274750636</v>
      </c>
      <c r="I168" s="129">
        <v>20.502793036974623</v>
      </c>
      <c r="J168" s="136">
        <v>76</v>
      </c>
      <c r="K168" s="136">
        <v>104</v>
      </c>
      <c r="L168" s="128">
        <v>36.84210526315789</v>
      </c>
      <c r="M168" s="136">
        <v>246</v>
      </c>
      <c r="N168" s="136">
        <v>227</v>
      </c>
      <c r="O168" s="128">
        <v>-7.7235772357723578</v>
      </c>
      <c r="P168" s="129">
        <v>42.509363295880149</v>
      </c>
      <c r="Q168" s="136">
        <v>3228145</v>
      </c>
      <c r="R168" s="136">
        <v>11870118</v>
      </c>
      <c r="S168" s="128">
        <v>267.70708874601354</v>
      </c>
      <c r="T168" s="136">
        <v>17373211</v>
      </c>
      <c r="U168" s="136">
        <v>30094672</v>
      </c>
      <c r="V168" s="128">
        <v>73.224581224507091</v>
      </c>
      <c r="W168" s="129">
        <v>99.926897672147746</v>
      </c>
      <c r="X168" s="135">
        <v>55097.085338848308</v>
      </c>
      <c r="Y168" s="135">
        <v>111823.94398102199</v>
      </c>
      <c r="Z168" s="128">
        <v>102.95800275695572</v>
      </c>
      <c r="AA168" s="135">
        <v>249261.42902715527</v>
      </c>
      <c r="AB168" s="135">
        <v>305489.02000203007</v>
      </c>
      <c r="AC168" s="128">
        <v>22.557678175209851</v>
      </c>
      <c r="AD168" s="129">
        <v>99.923742171804875</v>
      </c>
    </row>
    <row r="169" spans="1:30" ht="13">
      <c r="A169" s="8"/>
      <c r="B169" s="106" t="s">
        <v>6</v>
      </c>
      <c r="C169" s="135">
        <v>5.8822240019999983</v>
      </c>
      <c r="D169" s="135">
        <v>12.487871001000007</v>
      </c>
      <c r="E169" s="128">
        <v>112.29846052707346</v>
      </c>
      <c r="F169" s="135">
        <v>34.218713073880004</v>
      </c>
      <c r="G169" s="135">
        <v>39.016933643000016</v>
      </c>
      <c r="H169" s="128">
        <v>14.022212228614212</v>
      </c>
      <c r="I169" s="129">
        <v>3.5783015289415347</v>
      </c>
      <c r="J169" s="136">
        <v>17</v>
      </c>
      <c r="K169" s="136">
        <v>17</v>
      </c>
      <c r="L169" s="128">
        <v>0</v>
      </c>
      <c r="M169" s="136">
        <v>74</v>
      </c>
      <c r="N169" s="136">
        <v>54</v>
      </c>
      <c r="O169" s="128">
        <v>-27.027027027027028</v>
      </c>
      <c r="P169" s="129">
        <v>4.1538461538461542</v>
      </c>
      <c r="Q169" s="136">
        <v>170677</v>
      </c>
      <c r="R169" s="136">
        <v>84051</v>
      </c>
      <c r="S169" s="128">
        <v>-50.754348857784002</v>
      </c>
      <c r="T169" s="136">
        <v>632939</v>
      </c>
      <c r="U169" s="136">
        <v>238998</v>
      </c>
      <c r="V169" s="128">
        <v>-62.239963092809894</v>
      </c>
      <c r="W169" s="129">
        <v>27.247945841119204</v>
      </c>
      <c r="X169" s="135">
        <v>14976.753332800001</v>
      </c>
      <c r="Y169" s="135">
        <v>14150.294917999998</v>
      </c>
      <c r="Z169" s="128">
        <v>-5.5182748652874505</v>
      </c>
      <c r="AA169" s="135">
        <v>88217.865315200004</v>
      </c>
      <c r="AB169" s="135">
        <v>30248.345465547005</v>
      </c>
      <c r="AC169" s="128">
        <v>-65.711768973925516</v>
      </c>
      <c r="AD169" s="129">
        <v>86.170936267197263</v>
      </c>
    </row>
    <row r="170" spans="1:30" ht="13">
      <c r="A170" s="8"/>
      <c r="B170" s="106" t="s">
        <v>25</v>
      </c>
      <c r="C170" s="135">
        <v>915.33259121866251</v>
      </c>
      <c r="D170" s="135">
        <v>634.97765412130502</v>
      </c>
      <c r="E170" s="128">
        <v>-30.628750662542931</v>
      </c>
      <c r="F170" s="135">
        <v>1412.8263047714458</v>
      </c>
      <c r="G170" s="135">
        <v>2137.940093454014</v>
      </c>
      <c r="H170" s="128">
        <v>51.323633077448292</v>
      </c>
      <c r="I170" s="129">
        <v>95.998845864022414</v>
      </c>
      <c r="J170" s="136">
        <v>307</v>
      </c>
      <c r="K170" s="136">
        <v>347</v>
      </c>
      <c r="L170" s="128">
        <v>13.029315960912053</v>
      </c>
      <c r="M170" s="136">
        <v>1280</v>
      </c>
      <c r="N170" s="136">
        <v>847</v>
      </c>
      <c r="O170" s="128">
        <v>-33.828125</v>
      </c>
      <c r="P170" s="129">
        <v>17.22945484133442</v>
      </c>
      <c r="Q170" s="136">
        <v>5002801</v>
      </c>
      <c r="R170" s="136">
        <v>6120269</v>
      </c>
      <c r="S170" s="128">
        <v>22.336846898367536</v>
      </c>
      <c r="T170" s="136">
        <v>10398068</v>
      </c>
      <c r="U170" s="136">
        <v>12151579</v>
      </c>
      <c r="V170" s="128">
        <v>16.863815470335449</v>
      </c>
      <c r="W170" s="129">
        <v>73.904464587636269</v>
      </c>
      <c r="X170" s="135">
        <v>175604.83374715978</v>
      </c>
      <c r="Y170" s="135">
        <v>203689.73116711003</v>
      </c>
      <c r="Z170" s="128">
        <v>15.99323709983268</v>
      </c>
      <c r="AA170" s="135">
        <v>441605.07613123918</v>
      </c>
      <c r="AB170" s="135">
        <v>568753.03835337108</v>
      </c>
      <c r="AC170" s="128">
        <v>28.792232946241135</v>
      </c>
      <c r="AD170" s="129">
        <v>87.462041279073134</v>
      </c>
    </row>
    <row r="171" spans="1:30" ht="13">
      <c r="A171" s="8"/>
      <c r="B171" s="106"/>
      <c r="C171" s="13"/>
      <c r="D171" s="13"/>
      <c r="E171" s="128"/>
      <c r="F171" s="13"/>
      <c r="G171" s="13"/>
      <c r="H171" s="128"/>
      <c r="I171" s="129"/>
      <c r="J171" s="131"/>
      <c r="K171" s="131"/>
      <c r="L171" s="128"/>
      <c r="M171" s="131"/>
      <c r="N171" s="131"/>
      <c r="O171" s="128"/>
      <c r="P171" s="129"/>
      <c r="Q171" s="131"/>
      <c r="R171" s="131"/>
      <c r="S171" s="128"/>
      <c r="T171" s="131"/>
      <c r="U171" s="131"/>
      <c r="V171" s="128"/>
      <c r="W171" s="129"/>
      <c r="X171" s="13"/>
      <c r="Y171" s="13"/>
      <c r="Z171" s="128"/>
      <c r="AA171" s="13"/>
      <c r="AB171" s="13"/>
      <c r="AC171" s="128"/>
      <c r="AD171" s="129"/>
    </row>
    <row r="172" spans="1:30" s="24" customFormat="1" ht="15.5">
      <c r="A172" s="16">
        <v>24</v>
      </c>
      <c r="B172" s="105" t="s">
        <v>52</v>
      </c>
      <c r="C172" s="123">
        <v>21796.283306011002</v>
      </c>
      <c r="D172" s="123">
        <v>20643.668139198006</v>
      </c>
      <c r="E172" s="124">
        <v>-5.2881271115389081</v>
      </c>
      <c r="F172" s="123">
        <v>35600.681877823001</v>
      </c>
      <c r="G172" s="123">
        <v>48201.003589595995</v>
      </c>
      <c r="H172" s="124">
        <v>35.393484189476176</v>
      </c>
      <c r="I172" s="125">
        <v>65.424244076691878</v>
      </c>
      <c r="J172" s="126">
        <v>1066534</v>
      </c>
      <c r="K172" s="126">
        <v>1527002</v>
      </c>
      <c r="L172" s="124">
        <v>43.174244796696584</v>
      </c>
      <c r="M172" s="126">
        <v>2311806</v>
      </c>
      <c r="N172" s="126">
        <v>3687386</v>
      </c>
      <c r="O172" s="124">
        <v>59.502397692539944</v>
      </c>
      <c r="P172" s="125">
        <v>70.862496754637533</v>
      </c>
      <c r="Q172" s="126">
        <v>1531808.9999999998</v>
      </c>
      <c r="R172" s="126">
        <v>1921096</v>
      </c>
      <c r="S172" s="124">
        <v>25.413546989213426</v>
      </c>
      <c r="T172" s="126">
        <v>3835220</v>
      </c>
      <c r="U172" s="126">
        <v>4950842</v>
      </c>
      <c r="V172" s="124">
        <v>29.088865827775201</v>
      </c>
      <c r="W172" s="125">
        <v>10.43686757410091</v>
      </c>
      <c r="X172" s="123">
        <v>92720.408079300003</v>
      </c>
      <c r="Y172" s="123">
        <v>91688.718386599998</v>
      </c>
      <c r="Z172" s="124">
        <v>-1.1126889042783794</v>
      </c>
      <c r="AA172" s="123">
        <v>150621.4050268</v>
      </c>
      <c r="AB172" s="123">
        <v>206553.07078410004</v>
      </c>
      <c r="AC172" s="124">
        <v>37.133942381793702</v>
      </c>
      <c r="AD172" s="125">
        <v>14.761864343043884</v>
      </c>
    </row>
    <row r="173" spans="1:30" ht="13">
      <c r="A173" s="8"/>
      <c r="B173" s="106" t="s">
        <v>3</v>
      </c>
      <c r="C173" s="13">
        <v>1573.4268747000001</v>
      </c>
      <c r="D173" s="13">
        <v>1705.5575033</v>
      </c>
      <c r="E173" s="128">
        <v>8.3976338986324226</v>
      </c>
      <c r="F173" s="13">
        <v>3355.4713191000001</v>
      </c>
      <c r="G173" s="13">
        <v>4633.2441023000001</v>
      </c>
      <c r="H173" s="128">
        <v>38.080277304909956</v>
      </c>
      <c r="I173" s="128">
        <v>56.314078706217721</v>
      </c>
      <c r="J173" s="131">
        <v>60174</v>
      </c>
      <c r="K173" s="131">
        <v>77200</v>
      </c>
      <c r="L173" s="128">
        <v>28.294612291022702</v>
      </c>
      <c r="M173" s="131">
        <v>128242</v>
      </c>
      <c r="N173" s="131">
        <v>194292</v>
      </c>
      <c r="O173" s="128">
        <v>51.504187395704989</v>
      </c>
      <c r="P173" s="128">
        <v>77.700016796371983</v>
      </c>
      <c r="Q173" s="132">
        <v>0</v>
      </c>
      <c r="R173" s="132">
        <v>0</v>
      </c>
      <c r="S173" s="104" t="s">
        <v>57</v>
      </c>
      <c r="T173" s="131">
        <v>0</v>
      </c>
      <c r="U173" s="131">
        <v>0</v>
      </c>
      <c r="V173" s="104" t="s">
        <v>57</v>
      </c>
      <c r="W173" s="104" t="s">
        <v>57</v>
      </c>
      <c r="X173" s="13">
        <v>1178.0038999999999</v>
      </c>
      <c r="Y173" s="13">
        <v>1384.4881</v>
      </c>
      <c r="Z173" s="128">
        <v>17.528312087931127</v>
      </c>
      <c r="AA173" s="13">
        <v>2446.2584999999999</v>
      </c>
      <c r="AB173" s="13">
        <v>3441.6615999999999</v>
      </c>
      <c r="AC173" s="128">
        <v>40.690838682829309</v>
      </c>
      <c r="AD173" s="128">
        <v>45.296312686699444</v>
      </c>
    </row>
    <row r="174" spans="1:30" ht="13">
      <c r="A174" s="8"/>
      <c r="B174" s="106" t="s">
        <v>4</v>
      </c>
      <c r="C174" s="13">
        <v>2114.0138861</v>
      </c>
      <c r="D174" s="13">
        <v>2583.2722992000004</v>
      </c>
      <c r="E174" s="128">
        <v>22.197508549279359</v>
      </c>
      <c r="F174" s="13">
        <v>4656.0881074999998</v>
      </c>
      <c r="G174" s="13">
        <v>6283.4333056999985</v>
      </c>
      <c r="H174" s="128">
        <v>34.950910735101438</v>
      </c>
      <c r="I174" s="128">
        <v>37.706570099179814</v>
      </c>
      <c r="J174" s="131">
        <v>1004260</v>
      </c>
      <c r="K174" s="131">
        <v>1447267</v>
      </c>
      <c r="L174" s="128">
        <v>44.112779559078326</v>
      </c>
      <c r="M174" s="131">
        <v>2179271</v>
      </c>
      <c r="N174" s="131">
        <v>3487472</v>
      </c>
      <c r="O174" s="128">
        <v>60.029294199757622</v>
      </c>
      <c r="P174" s="128">
        <v>70.49991155854066</v>
      </c>
      <c r="Q174" s="132">
        <v>0</v>
      </c>
      <c r="R174" s="132">
        <v>0</v>
      </c>
      <c r="S174" s="104" t="s">
        <v>57</v>
      </c>
      <c r="T174" s="131">
        <v>0</v>
      </c>
      <c r="U174" s="131">
        <v>0</v>
      </c>
      <c r="V174" s="104" t="s">
        <v>57</v>
      </c>
      <c r="W174" s="104" t="s">
        <v>57</v>
      </c>
      <c r="X174" s="13">
        <v>33136.902200000004</v>
      </c>
      <c r="Y174" s="13">
        <v>47963.314800000007</v>
      </c>
      <c r="Z174" s="128">
        <v>44.742904784865502</v>
      </c>
      <c r="AA174" s="13">
        <v>72169.73980000001</v>
      </c>
      <c r="AB174" s="13">
        <v>116491.35710000001</v>
      </c>
      <c r="AC174" s="128">
        <v>61.41302077965922</v>
      </c>
      <c r="AD174" s="128">
        <v>29.084611237628071</v>
      </c>
    </row>
    <row r="175" spans="1:30" ht="13">
      <c r="A175" s="8"/>
      <c r="B175" s="106" t="s">
        <v>5</v>
      </c>
      <c r="C175" s="13">
        <v>17912.993874572003</v>
      </c>
      <c r="D175" s="13">
        <v>16068.573698250002</v>
      </c>
      <c r="E175" s="128">
        <v>-10.296548914362143</v>
      </c>
      <c r="F175" s="13">
        <v>27163.943470705002</v>
      </c>
      <c r="G175" s="13">
        <v>36143.859711702004</v>
      </c>
      <c r="H175" s="128">
        <v>33.058220175879129</v>
      </c>
      <c r="I175" s="128">
        <v>79.497206963025363</v>
      </c>
      <c r="J175" s="131">
        <v>11</v>
      </c>
      <c r="K175" s="131">
        <v>143</v>
      </c>
      <c r="L175" s="128">
        <v>1200</v>
      </c>
      <c r="M175" s="131">
        <v>33</v>
      </c>
      <c r="N175" s="131">
        <v>307</v>
      </c>
      <c r="O175" s="128">
        <v>830.30303030303025</v>
      </c>
      <c r="P175" s="128">
        <v>57.490636704119844</v>
      </c>
      <c r="Q175" s="131">
        <v>1773</v>
      </c>
      <c r="R175" s="131">
        <v>10405</v>
      </c>
      <c r="S175" s="128">
        <v>486.85843203609699</v>
      </c>
      <c r="T175" s="131">
        <v>6162</v>
      </c>
      <c r="U175" s="131">
        <v>22016</v>
      </c>
      <c r="V175" s="128">
        <v>257.28659526127882</v>
      </c>
      <c r="W175" s="128">
        <v>7.3102327852252555E-2</v>
      </c>
      <c r="X175" s="13">
        <v>54.387396800000005</v>
      </c>
      <c r="Y175" s="13">
        <v>103.63461959999999</v>
      </c>
      <c r="Z175" s="128">
        <v>90.548961151970389</v>
      </c>
      <c r="AA175" s="13">
        <v>128.27468629999998</v>
      </c>
      <c r="AB175" s="13">
        <v>233.13707729999999</v>
      </c>
      <c r="AC175" s="128">
        <v>81.748312176538931</v>
      </c>
      <c r="AD175" s="128">
        <v>7.6257828195129676E-2</v>
      </c>
    </row>
    <row r="176" spans="1:30" ht="13">
      <c r="A176" s="8"/>
      <c r="B176" s="106" t="s">
        <v>6</v>
      </c>
      <c r="C176" s="13">
        <v>160.91112006999998</v>
      </c>
      <c r="D176" s="13">
        <v>253.88428445499997</v>
      </c>
      <c r="E176" s="128">
        <v>57.779204037952482</v>
      </c>
      <c r="F176" s="13">
        <v>330.62763593700004</v>
      </c>
      <c r="G176" s="13">
        <v>1051.358858543</v>
      </c>
      <c r="H176" s="128">
        <v>217.9888019836711</v>
      </c>
      <c r="I176" s="128">
        <v>96.421698471058463</v>
      </c>
      <c r="J176" s="131">
        <v>591</v>
      </c>
      <c r="K176" s="131">
        <v>499</v>
      </c>
      <c r="L176" s="128">
        <v>-15.5668358714044</v>
      </c>
      <c r="M176" s="131">
        <v>1296</v>
      </c>
      <c r="N176" s="131">
        <v>1246</v>
      </c>
      <c r="O176" s="128">
        <v>-3.8580246913580245</v>
      </c>
      <c r="P176" s="128">
        <v>95.846153846153854</v>
      </c>
      <c r="Q176" s="132">
        <v>150501</v>
      </c>
      <c r="R176" s="132">
        <v>232757</v>
      </c>
      <c r="S176" s="128">
        <v>54.654786346934571</v>
      </c>
      <c r="T176" s="131">
        <v>278470</v>
      </c>
      <c r="U176" s="131">
        <v>638125</v>
      </c>
      <c r="V176" s="128">
        <v>129.15394836068518</v>
      </c>
      <c r="W176" s="128">
        <v>72.752054158880796</v>
      </c>
      <c r="X176" s="13">
        <v>1177.5048391999997</v>
      </c>
      <c r="Y176" s="13">
        <v>2117.1664037999999</v>
      </c>
      <c r="Z176" s="128">
        <v>79.801078799676887</v>
      </c>
      <c r="AA176" s="13">
        <v>3217.4731000000002</v>
      </c>
      <c r="AB176" s="13">
        <v>4854.3779999999997</v>
      </c>
      <c r="AC176" s="128">
        <v>50.875480512952834</v>
      </c>
      <c r="AD176" s="128">
        <v>13.829063732802746</v>
      </c>
    </row>
    <row r="177" spans="1:30" ht="13">
      <c r="A177" s="8"/>
      <c r="B177" s="106" t="s">
        <v>25</v>
      </c>
      <c r="C177" s="13">
        <v>34.937550568999995</v>
      </c>
      <c r="D177" s="13">
        <v>32.380353993000028</v>
      </c>
      <c r="E177" s="128">
        <v>-7.319335598383252</v>
      </c>
      <c r="F177" s="13">
        <v>94.551344580999995</v>
      </c>
      <c r="G177" s="13">
        <v>89.107611351000017</v>
      </c>
      <c r="H177" s="128">
        <v>-5.7574360831394156</v>
      </c>
      <c r="I177" s="128">
        <v>4.0011541359775995</v>
      </c>
      <c r="J177" s="131">
        <v>1498</v>
      </c>
      <c r="K177" s="131">
        <v>1893</v>
      </c>
      <c r="L177" s="128">
        <v>26.368491321762349</v>
      </c>
      <c r="M177" s="131">
        <v>2964</v>
      </c>
      <c r="N177" s="131">
        <v>4069</v>
      </c>
      <c r="O177" s="128">
        <v>37.280701754385966</v>
      </c>
      <c r="P177" s="128">
        <v>82.770545158665584</v>
      </c>
      <c r="Q177" s="132">
        <v>1379534.9999999998</v>
      </c>
      <c r="R177" s="132">
        <v>1677934</v>
      </c>
      <c r="S177" s="128">
        <v>21.630404447875573</v>
      </c>
      <c r="T177" s="131">
        <v>3550588</v>
      </c>
      <c r="U177" s="131">
        <v>4290701</v>
      </c>
      <c r="V177" s="128">
        <v>20.844800917481837</v>
      </c>
      <c r="W177" s="128">
        <v>26.095535412363734</v>
      </c>
      <c r="X177" s="13">
        <v>57173.609743299996</v>
      </c>
      <c r="Y177" s="13">
        <v>40120.1144632</v>
      </c>
      <c r="Z177" s="128">
        <v>-29.827564424683615</v>
      </c>
      <c r="AA177" s="13">
        <v>72659.658940499998</v>
      </c>
      <c r="AB177" s="13">
        <v>81532.537006800005</v>
      </c>
      <c r="AC177" s="128">
        <v>12.211560301385237</v>
      </c>
      <c r="AD177" s="128">
        <v>12.537958720926861</v>
      </c>
    </row>
    <row r="178" spans="1:30" ht="13">
      <c r="A178" s="8"/>
      <c r="B178" s="106"/>
      <c r="C178" s="13"/>
      <c r="D178" s="13"/>
      <c r="E178" s="128"/>
      <c r="F178" s="13"/>
      <c r="G178" s="13"/>
      <c r="H178" s="128"/>
      <c r="I178" s="128"/>
      <c r="J178" s="131"/>
      <c r="K178" s="131"/>
      <c r="L178" s="128"/>
      <c r="M178" s="131"/>
      <c r="N178" s="131"/>
      <c r="O178" s="128"/>
      <c r="P178" s="128"/>
      <c r="Q178" s="132"/>
      <c r="R178" s="132"/>
      <c r="S178" s="128"/>
      <c r="T178" s="131"/>
      <c r="U178" s="131"/>
      <c r="V178" s="128"/>
      <c r="W178" s="128"/>
      <c r="X178" s="13"/>
      <c r="Y178" s="13"/>
      <c r="Z178" s="128"/>
      <c r="AA178" s="13"/>
      <c r="AB178" s="13"/>
      <c r="AC178" s="128"/>
      <c r="AD178" s="128"/>
    </row>
    <row r="179" spans="1:30" s="24" customFormat="1" ht="15.5">
      <c r="A179" s="21"/>
      <c r="B179" s="105" t="s">
        <v>11</v>
      </c>
      <c r="C179" s="123">
        <v>30009.478565468951</v>
      </c>
      <c r="D179" s="123">
        <v>31254.554827764594</v>
      </c>
      <c r="E179" s="124">
        <v>4.1489433399496525</v>
      </c>
      <c r="F179" s="123">
        <v>52725.259454179213</v>
      </c>
      <c r="G179" s="123">
        <v>73674.528868982597</v>
      </c>
      <c r="H179" s="124">
        <v>39.732890139704871</v>
      </c>
      <c r="I179" s="125">
        <v>100</v>
      </c>
      <c r="J179" s="126">
        <v>1606343</v>
      </c>
      <c r="K179" s="126">
        <v>2132823</v>
      </c>
      <c r="L179" s="124">
        <v>32.775067342404455</v>
      </c>
      <c r="M179" s="126">
        <v>3463732</v>
      </c>
      <c r="N179" s="126">
        <v>5203579</v>
      </c>
      <c r="O179" s="124">
        <v>50.230416210030107</v>
      </c>
      <c r="P179" s="125">
        <v>100</v>
      </c>
      <c r="Q179" s="126">
        <v>9933432</v>
      </c>
      <c r="R179" s="126">
        <v>19995534</v>
      </c>
      <c r="S179" s="124">
        <v>101.29532270417715</v>
      </c>
      <c r="T179" s="126">
        <v>32239438</v>
      </c>
      <c r="U179" s="126">
        <v>47436091</v>
      </c>
      <c r="V179" s="124">
        <v>47.136842149667743</v>
      </c>
      <c r="W179" s="125">
        <v>100</v>
      </c>
      <c r="X179" s="123">
        <v>449878.87833496806</v>
      </c>
      <c r="Y179" s="123">
        <v>530807.64166437997</v>
      </c>
      <c r="Z179" s="124">
        <v>17.98901153771315</v>
      </c>
      <c r="AA179" s="123">
        <v>1200631.0056960867</v>
      </c>
      <c r="AB179" s="123">
        <v>1399234.3106813091</v>
      </c>
      <c r="AC179" s="124">
        <v>16.541577224226248</v>
      </c>
      <c r="AD179" s="125">
        <v>100</v>
      </c>
    </row>
    <row r="180" spans="1:30" ht="13">
      <c r="A180" s="8"/>
      <c r="B180" s="106" t="s">
        <v>3</v>
      </c>
      <c r="C180" s="135">
        <v>2788.6839980069462</v>
      </c>
      <c r="D180" s="135">
        <v>3123.6038845693693</v>
      </c>
      <c r="E180" s="128">
        <v>12.009961931928753</v>
      </c>
      <c r="F180" s="135">
        <v>6029.7193840561131</v>
      </c>
      <c r="G180" s="135">
        <v>8227.5058186975839</v>
      </c>
      <c r="H180" s="128">
        <v>36.449232454380798</v>
      </c>
      <c r="I180" s="128">
        <v>100</v>
      </c>
      <c r="J180" s="136">
        <v>80657</v>
      </c>
      <c r="K180" s="136">
        <v>97048</v>
      </c>
      <c r="L180" s="128">
        <v>20.321856751428889</v>
      </c>
      <c r="M180" s="136">
        <v>175775</v>
      </c>
      <c r="N180" s="136">
        <v>250054</v>
      </c>
      <c r="O180" s="128">
        <v>42.25800028445456</v>
      </c>
      <c r="P180" s="128">
        <v>100</v>
      </c>
      <c r="Q180" s="136">
        <v>0</v>
      </c>
      <c r="R180" s="136"/>
      <c r="S180" s="104" t="s">
        <v>57</v>
      </c>
      <c r="T180" s="136">
        <v>0</v>
      </c>
      <c r="U180" s="136"/>
      <c r="V180" s="104" t="s">
        <v>57</v>
      </c>
      <c r="W180" s="104" t="s">
        <v>57</v>
      </c>
      <c r="X180" s="135">
        <v>2992.6115118409998</v>
      </c>
      <c r="Y180" s="135">
        <v>2987.136043429</v>
      </c>
      <c r="Z180" s="128">
        <v>-0.18296622833718298</v>
      </c>
      <c r="AA180" s="135">
        <v>6562.2735274189999</v>
      </c>
      <c r="AB180" s="135">
        <v>7598.1054436039994</v>
      </c>
      <c r="AC180" s="128">
        <v>15.784650119459457</v>
      </c>
      <c r="AD180" s="128">
        <v>100</v>
      </c>
    </row>
    <row r="181" spans="1:30" ht="13">
      <c r="A181" s="8"/>
      <c r="B181" s="106" t="s">
        <v>4</v>
      </c>
      <c r="C181" s="135">
        <v>5539.2776097525066</v>
      </c>
      <c r="D181" s="135">
        <v>6772.5823350544561</v>
      </c>
      <c r="E181" s="128">
        <v>22.264721362413415</v>
      </c>
      <c r="F181" s="135">
        <v>11714.153490202942</v>
      </c>
      <c r="G181" s="135">
        <v>16664.027752120244</v>
      </c>
      <c r="H181" s="128">
        <v>42.255501142759471</v>
      </c>
      <c r="I181" s="128">
        <v>100</v>
      </c>
      <c r="J181" s="136">
        <v>1523186</v>
      </c>
      <c r="K181" s="136">
        <v>2032772</v>
      </c>
      <c r="L181" s="128">
        <v>33.455270728591259</v>
      </c>
      <c r="M181" s="136">
        <v>3282064</v>
      </c>
      <c r="N181" s="136">
        <v>4946775</v>
      </c>
      <c r="O181" s="128">
        <v>50.721466735566402</v>
      </c>
      <c r="P181" s="128">
        <v>100</v>
      </c>
      <c r="Q181" s="136">
        <v>0</v>
      </c>
      <c r="R181" s="136"/>
      <c r="S181" s="104" t="s">
        <v>57</v>
      </c>
      <c r="T181" s="136">
        <v>0</v>
      </c>
      <c r="U181" s="136"/>
      <c r="V181" s="104" t="s">
        <v>57</v>
      </c>
      <c r="W181" s="104" t="s">
        <v>57</v>
      </c>
      <c r="X181" s="135">
        <v>142802.09242501899</v>
      </c>
      <c r="Y181" s="135">
        <v>155815.62006821897</v>
      </c>
      <c r="Z181" s="128">
        <v>9.112981065058964</v>
      </c>
      <c r="AA181" s="135">
        <v>338978.95496827306</v>
      </c>
      <c r="AB181" s="135">
        <v>400525.74933265703</v>
      </c>
      <c r="AC181" s="128">
        <v>18.156523719929599</v>
      </c>
      <c r="AD181" s="128">
        <v>100</v>
      </c>
    </row>
    <row r="182" spans="1:30" ht="13">
      <c r="A182" s="8"/>
      <c r="B182" s="106" t="s">
        <v>5</v>
      </c>
      <c r="C182" s="135">
        <v>20564.453471849833</v>
      </c>
      <c r="D182" s="135">
        <v>20424.638444570461</v>
      </c>
      <c r="E182" s="128">
        <v>-0.67988691005458113</v>
      </c>
      <c r="F182" s="135">
        <v>33109.162581556833</v>
      </c>
      <c r="G182" s="135">
        <v>45465.571801173755</v>
      </c>
      <c r="H182" s="128">
        <v>37.320210649181298</v>
      </c>
      <c r="I182" s="128">
        <v>100</v>
      </c>
      <c r="J182" s="136">
        <v>87</v>
      </c>
      <c r="K182" s="136">
        <v>247</v>
      </c>
      <c r="L182" s="128">
        <v>183.90804597701148</v>
      </c>
      <c r="M182" s="136">
        <v>279</v>
      </c>
      <c r="N182" s="136">
        <v>534</v>
      </c>
      <c r="O182" s="128">
        <v>91.397849462365585</v>
      </c>
      <c r="P182" s="128">
        <v>100</v>
      </c>
      <c r="Q182" s="136">
        <v>3229918</v>
      </c>
      <c r="R182" s="136">
        <v>11880523</v>
      </c>
      <c r="S182" s="128">
        <v>267.82738756835312</v>
      </c>
      <c r="T182" s="136">
        <v>17379373</v>
      </c>
      <c r="U182" s="136">
        <v>30116688</v>
      </c>
      <c r="V182" s="128">
        <v>73.289841929280186</v>
      </c>
      <c r="W182" s="128">
        <v>100</v>
      </c>
      <c r="X182" s="135">
        <v>55151.472735648305</v>
      </c>
      <c r="Y182" s="135">
        <v>111927.578600622</v>
      </c>
      <c r="Z182" s="128">
        <v>102.94576563188542</v>
      </c>
      <c r="AA182" s="135">
        <v>249389.70371345527</v>
      </c>
      <c r="AB182" s="135">
        <v>305722.15707933006</v>
      </c>
      <c r="AC182" s="128">
        <v>22.588123137032103</v>
      </c>
      <c r="AD182" s="128">
        <v>100</v>
      </c>
    </row>
    <row r="183" spans="1:30" ht="13">
      <c r="A183" s="8"/>
      <c r="B183" s="106" t="s">
        <v>6</v>
      </c>
      <c r="C183" s="135">
        <v>166.79334407199997</v>
      </c>
      <c r="D183" s="135">
        <v>266.37215545599997</v>
      </c>
      <c r="E183" s="128">
        <v>59.701909532441924</v>
      </c>
      <c r="F183" s="135">
        <v>364.84634901088003</v>
      </c>
      <c r="G183" s="135">
        <v>1090.3757921860001</v>
      </c>
      <c r="H183" s="128">
        <v>198.85890187528895</v>
      </c>
      <c r="I183" s="128">
        <v>100</v>
      </c>
      <c r="J183" s="136">
        <v>608</v>
      </c>
      <c r="K183" s="136">
        <v>516</v>
      </c>
      <c r="L183" s="128">
        <v>-15.131578947368421</v>
      </c>
      <c r="M183" s="136">
        <v>1370</v>
      </c>
      <c r="N183" s="136">
        <v>1300</v>
      </c>
      <c r="O183" s="128">
        <v>-5.1094890510948909</v>
      </c>
      <c r="P183" s="128">
        <v>100</v>
      </c>
      <c r="Q183" s="136">
        <v>321178</v>
      </c>
      <c r="R183" s="136">
        <v>316808</v>
      </c>
      <c r="S183" s="128">
        <v>-1.3606162314977988</v>
      </c>
      <c r="T183" s="136">
        <v>911409</v>
      </c>
      <c r="U183" s="136">
        <v>877123</v>
      </c>
      <c r="V183" s="128">
        <v>-3.7618676137716438</v>
      </c>
      <c r="W183" s="128">
        <v>100</v>
      </c>
      <c r="X183" s="135">
        <v>16154.258172</v>
      </c>
      <c r="Y183" s="135">
        <v>16267.461321799998</v>
      </c>
      <c r="Z183" s="128">
        <v>0.70076352992928903</v>
      </c>
      <c r="AA183" s="135">
        <v>91435.338415200007</v>
      </c>
      <c r="AB183" s="135">
        <v>35102.723465547002</v>
      </c>
      <c r="AC183" s="128">
        <v>-61.609237660226555</v>
      </c>
      <c r="AD183" s="128">
        <v>100</v>
      </c>
    </row>
    <row r="184" spans="1:30" ht="13">
      <c r="A184" s="8"/>
      <c r="B184" s="106" t="s">
        <v>25</v>
      </c>
      <c r="C184" s="135">
        <v>950.27014178766251</v>
      </c>
      <c r="D184" s="135">
        <v>667.35800811430499</v>
      </c>
      <c r="E184" s="128">
        <v>-29.771758706544116</v>
      </c>
      <c r="F184" s="135">
        <v>1507.3776493524458</v>
      </c>
      <c r="G184" s="135">
        <v>2227.0477048050138</v>
      </c>
      <c r="H184" s="128">
        <v>47.743182059368536</v>
      </c>
      <c r="I184" s="128">
        <v>100</v>
      </c>
      <c r="J184" s="136">
        <v>1805</v>
      </c>
      <c r="K184" s="136">
        <v>2240</v>
      </c>
      <c r="L184" s="128">
        <v>24.099722991689752</v>
      </c>
      <c r="M184" s="136">
        <v>4244</v>
      </c>
      <c r="N184" s="136">
        <v>4916</v>
      </c>
      <c r="O184" s="128">
        <v>15.834118755890669</v>
      </c>
      <c r="P184" s="128">
        <v>100</v>
      </c>
      <c r="Q184" s="136">
        <v>6382336</v>
      </c>
      <c r="R184" s="136">
        <v>7798203</v>
      </c>
      <c r="S184" s="128">
        <v>22.184150129357025</v>
      </c>
      <c r="T184" s="136">
        <v>13948656</v>
      </c>
      <c r="U184" s="136">
        <v>16442280</v>
      </c>
      <c r="V184" s="128">
        <v>17.877163219166061</v>
      </c>
      <c r="W184" s="128">
        <v>100</v>
      </c>
      <c r="X184" s="135">
        <v>232778.44349045976</v>
      </c>
      <c r="Y184" s="135">
        <v>243809.84563031004</v>
      </c>
      <c r="Z184" s="128">
        <v>4.7390136193184027</v>
      </c>
      <c r="AA184" s="135">
        <v>514264.73507173918</v>
      </c>
      <c r="AB184" s="135">
        <v>650285.57536017115</v>
      </c>
      <c r="AC184" s="128">
        <v>26.449575678071191</v>
      </c>
      <c r="AD184" s="128">
        <v>100</v>
      </c>
    </row>
    <row r="185" spans="1:30">
      <c r="A185" s="33" t="s">
        <v>61</v>
      </c>
      <c r="N185" s="26"/>
      <c r="O185" s="26"/>
      <c r="P185" s="26"/>
      <c r="Q185" s="26"/>
    </row>
    <row r="186" spans="1:30">
      <c r="A186" s="33" t="s">
        <v>16</v>
      </c>
    </row>
  </sheetData>
  <mergeCells count="9">
    <mergeCell ref="Y1:AD1"/>
    <mergeCell ref="A2:A3"/>
    <mergeCell ref="B2:B3"/>
    <mergeCell ref="C2:I2"/>
    <mergeCell ref="J2:P2"/>
    <mergeCell ref="Q2:W2"/>
    <mergeCell ref="X2:AD2"/>
    <mergeCell ref="B1:I1"/>
    <mergeCell ref="R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as at 30th June 2022</vt:lpstr>
      <vt:lpstr>'FYP as at 31st March, 2018_TEMP'!Print_Area</vt:lpstr>
      <vt:lpstr>'as at 30th June 2022'!Print_Titles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Tanuja Sadhnani</cp:lastModifiedBy>
  <cp:lastPrinted>2022-05-06T13:54:23Z</cp:lastPrinted>
  <dcterms:created xsi:type="dcterms:W3CDTF">2002-04-18T04:47:59Z</dcterms:created>
  <dcterms:modified xsi:type="dcterms:W3CDTF">2022-07-12T10:57:27Z</dcterms:modified>
</cp:coreProperties>
</file>